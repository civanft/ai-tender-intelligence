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8cd56f69ba8416f" /></Relationships>
</file>

<file path=xl/workbook.xml><?xml version="1.0" encoding="utf-8"?>
<x:workbook xmlns:x="http://schemas.openxmlformats.org/spreadsheetml/2006/main">
  <x:sheets>
    <x:sheet xmlns:r="http://schemas.openxmlformats.org/officeDocument/2006/relationships" name="Start Here" sheetId="1" r:id="Rcc254557d63a4080"/>
    <x:sheet xmlns:r="http://schemas.openxmlformats.org/officeDocument/2006/relationships" name="Labels" sheetId="2" r:id="Rceef8eb7a5914811"/>
    <x:sheet xmlns:r="http://schemas.openxmlformats.org/officeDocument/2006/relationships" name="Review Queue" sheetId="3" r:id="Ra37b6605a35d4e64"/>
    <x:sheet xmlns:r="http://schemas.openxmlformats.org/officeDocument/2006/relationships" name="Preliminary Metrics" sheetId="4" r:id="Rea6d28af773a4fc6"/>
    <x:sheet xmlns:r="http://schemas.openxmlformats.org/officeDocument/2006/relationships" name="Decision Guide" sheetId="5" r:id="Ra20d5d30e1aa4314"/>
    <x:sheet xmlns:r="http://schemas.openxmlformats.org/officeDocument/2006/relationships" name="Sampling Notes" sheetId="6" r:id="R83af01a4e60f45fc"/>
  </x:sheets>
</x:workbook>
</file>

<file path=xl/sharedStrings.xml><?xml version="1.0" encoding="utf-8"?>
<x:sst xmlns:x="http://schemas.openxmlformats.org/spreadsheetml/2006/main"/>
</file>

<file path=xl/styles.xml><?xml version="1.0" encoding="utf-8"?>
<x:styleSheet xmlns:x="http://schemas.openxmlformats.org/spreadsheetml/2006/main">
  <x:numFmts count="7">
    <x:numFmt numFmtId="200" formatCode="0%"/>
    <x:numFmt numFmtId="201" formatCode="yyyy-mm-dd"/>
    <x:numFmt numFmtId="202" formatCode="0.0%"/>
    <x:numFmt numFmtId="203" formatCode="#,##0"/>
    <x:numFmt numFmtId="204" formatCode="#,##0.0"/>
    <x:numFmt numFmtId="205" formatCode="yyyy-mm-dd hh:mm"/>
    <x:numFmt numFmtId="206" formatCode="0.0000"/>
  </x:numFmts>
  <x:fonts count="20">
    <x:font>
      <x:sz val="11"/>
      <x:name val="Carlito"/>
    </x:font>
    <x:font>
      <x:b/>
      <x:sz val="20"/>
      <x:color rgb="FFFFFFFF"/>
      <x:name val="Aptos Display"/>
    </x:font>
    <x:font>
      <x:sz val="10"/>
      <x:color rgb="FFDDE8EA"/>
      <x:name val="Aptos"/>
    </x:font>
    <x:font>
      <x:b/>
      <x:sz val="12"/>
      <x:color rgb="FF0B2533"/>
      <x:name val="Carlito"/>
    </x:font>
    <x:font>
      <x:b/>
      <x:sz val="9"/>
      <x:color rgb="FF5D6B70"/>
      <x:name val="Carlito"/>
    </x:font>
    <x:font>
      <x:b/>
      <x:sz val="15"/>
      <x:color rgb="FF0B2533"/>
      <x:name val="Carlito"/>
    </x:font>
    <x:font>
      <x:b/>
      <x:sz val="11"/>
      <x:color rgb="FFFFFFFF"/>
      <x:name val="Carlito"/>
    </x:font>
    <x:font>
      <x:b/>
      <x:sz val="11"/>
      <x:color rgb="FF277B78"/>
      <x:name val="Carlito"/>
    </x:font>
    <x:font>
      <x:sz val="10"/>
      <x:color rgb="FF14272E"/>
      <x:name val="Carlito"/>
    </x:font>
    <x:font>
      <x:b/>
      <x:sz val="11"/>
      <x:color rgb="FFA87924"/>
      <x:name val="Carlito"/>
    </x:font>
    <x:font>
      <x:b/>
      <x:sz val="9"/>
      <x:color rgb="FFFFFFFF"/>
      <x:name val="Carlito"/>
    </x:font>
    <x:font>
      <x:sz val="9"/>
      <x:color rgb="FF14272E"/>
      <x:name val="Aptos"/>
    </x:font>
    <x:font>
      <x:b/>
      <x:sz val="11"/>
      <x:color rgb="FF0B2533"/>
      <x:name val="Carlito"/>
    </x:font>
    <x:font>
      <x:b/>
      <x:sz val="13"/>
      <x:color rgb="FF0B2533"/>
      <x:name val="Carlito"/>
    </x:font>
    <x:font>
      <x:sz val="11"/>
      <x:color rgb="FF14272E"/>
      <x:name val="Carlito"/>
    </x:font>
    <x:font>
      <x:b/>
      <x:sz val="10"/>
      <x:color rgb="FFFFFFFF"/>
      <x:name val="Carlito"/>
    </x:font>
    <x:font>
      <x:b/>
      <x:sz val="10"/>
      <x:color rgb="FF277B78"/>
      <x:name val="Carlito"/>
    </x:font>
    <x:font>
      <x:b/>
      <x:sz val="10"/>
      <x:color rgb="FF9D4638"/>
      <x:name val="Carlito"/>
    </x:font>
    <x:font>
      <x:b/>
      <x:sz val="10"/>
      <x:color rgb="FFA87924"/>
      <x:name val="Carlito"/>
    </x:font>
    <x:font>
      <x:sz val="9"/>
      <x:color rgb="FF14272E"/>
      <x:name val="Carlito"/>
    </x:font>
  </x:fonts>
  <x:fills count="11">
    <x:fill>
      <x:patternFill patternType="none"/>
    </x:fill>
    <x:fill>
      <x:patternFill patternType="gray125"/>
    </x:fill>
    <x:fill>
      <x:patternFill patternType="solid">
        <x:fgColor rgb="FF0B2533"/>
      </x:patternFill>
    </x:fill>
    <x:fill>
      <x:patternFill patternType="solid">
        <x:fgColor rgb="FF163C4A"/>
      </x:patternFill>
    </x:fill>
    <x:fill>
      <x:patternFill patternType="solid">
        <x:fgColor rgb="FFF7F4ED"/>
      </x:patternFill>
    </x:fill>
    <x:fill>
      <x:patternFill patternType="solid">
        <x:fgColor rgb="FFFFFDFC"/>
      </x:patternFill>
    </x:fill>
    <x:fill>
      <x:patternFill patternType="solid">
        <x:fgColor rgb="FFDCEEEB"/>
      </x:patternFill>
    </x:fill>
    <x:fill>
      <x:patternFill patternType="solid">
        <x:fgColor rgb="FFF6ECD5"/>
      </x:patternFill>
    </x:fill>
    <x:fill>
      <x:patternFill patternType="solid">
        <x:fgColor rgb="FFFFF9EB"/>
      </x:patternFill>
    </x:fill>
    <x:fill>
      <x:patternFill patternType="solid">
        <x:fgColor rgb="FFFFF3C4"/>
      </x:patternFill>
    </x:fill>
    <x:fill>
      <x:patternFill patternType="solid">
        <x:fgColor rgb="FFF4E2DD"/>
      </x:patternFill>
    </x:fill>
  </x:fills>
  <x:borders count="21">
    <x:border/>
    <x:border>
      <x:left style="thin">
        <x:color rgb="FFD9D3C7"/>
      </x:left>
      <x:top style="thin">
        <x:color rgb="FFD9D3C7"/>
      </x:top>
    </x:border>
    <x:border>
      <x:right style="thin">
        <x:color rgb="FFD9D3C7"/>
      </x:right>
      <x:top style="thin">
        <x:color rgb="FFD9D3C7"/>
      </x:top>
    </x:border>
    <x:border>
      <x:left style="thin">
        <x:color rgb="FFD9D3C7"/>
      </x:left>
      <x:bottom style="thin">
        <x:color rgb="FFD9D3C7"/>
      </x:bottom>
    </x:border>
    <x:border>
      <x:right style="thin">
        <x:color rgb="FFD9D3C7"/>
      </x:right>
      <x:bottom style="thin">
        <x:color rgb="FFD9D3C7"/>
      </x:bottom>
    </x:border>
    <x:border>
      <x:bottom style="thin">
        <x:color rgb="FFD9D3C7"/>
      </x:bottom>
    </x:border>
    <x:border>
      <x:top style="thin">
        <x:color rgb="FFD9D3C7"/>
      </x:top>
      <x:bottom style="thin">
        <x:color rgb="FFD9D3C7"/>
      </x:bottom>
    </x:border>
    <x:border>
      <x:top style="thin">
        <x:color rgb="FFD9D3C7"/>
      </x:top>
    </x:border>
    <x:border>
      <x:right style="thin">
        <x:color rgb="FFD9D3C7"/>
      </x:right>
      <x:top style="thin">
        <x:color rgb="FFD9D3C7"/>
      </x:top>
      <x:bottom style="thin">
        <x:color rgb="FFD9D3C7"/>
      </x:bottom>
    </x:border>
    <x:border>
      <x:left style="thin">
        <x:color rgb="FFD9D3C7"/>
      </x:left>
      <x:top style="thin">
        <x:color rgb="FFD9D3C7"/>
      </x:top>
      <x:bottom style="thin">
        <x:color rgb="FFD9D3C7"/>
      </x:bottom>
    </x:border>
    <x:border>
      <x:left style="thin">
        <x:color rgb="FFE2C985"/>
      </x:left>
      <x:top style="thin">
        <x:color rgb="FFE2C985"/>
      </x:top>
    </x:border>
    <x:border>
      <x:top style="thin">
        <x:color rgb="FFE2C985"/>
      </x:top>
    </x:border>
    <x:border>
      <x:right style="thin">
        <x:color rgb="FFE2C985"/>
      </x:right>
      <x:top style="thin">
        <x:color rgb="FFE2C985"/>
      </x:top>
    </x:border>
    <x:border>
      <x:left style="thin">
        <x:color rgb="FFE2C985"/>
      </x:left>
    </x:border>
    <x:border>
      <x:right style="thin">
        <x:color rgb="FFE2C985"/>
      </x:right>
    </x:border>
    <x:border>
      <x:left style="thin">
        <x:color rgb="FFE2C985"/>
      </x:left>
      <x:bottom style="thin">
        <x:color rgb="FFE2C985"/>
      </x:bottom>
    </x:border>
    <x:border>
      <x:bottom style="thin">
        <x:color rgb="FFE2C985"/>
      </x:bottom>
    </x:border>
    <x:border>
      <x:right style="thin">
        <x:color rgb="FFE2C985"/>
      </x:right>
      <x:bottom style="thin">
        <x:color rgb="FFE2C985"/>
      </x:bottom>
    </x:border>
    <x:border>
      <x:left style="thin">
        <x:color rgb="FFD9D3C7"/>
      </x:left>
      <x:right style="thin">
        <x:color rgb="FFD9D3C7"/>
      </x:right>
      <x:bottom style="thin">
        <x:color rgb="FFD9D3C7"/>
      </x:bottom>
    </x:border>
    <x:border>
      <x:left style="thin">
        <x:color rgb="FFD9D3C7"/>
      </x:left>
      <x:right style="thin">
        <x:color rgb="FFD9D3C7"/>
      </x:right>
      <x:top style="thin">
        <x:color rgb="FFD9D3C7"/>
      </x:top>
      <x:bottom style="thin">
        <x:color rgb="FFD9D3C7"/>
      </x:bottom>
    </x:border>
    <x:border>
      <x:left style="thin">
        <x:color rgb="FFD9D3C7"/>
      </x:left>
      <x:right style="thin">
        <x:color rgb="FFD9D3C7"/>
      </x:right>
      <x:top style="thin">
        <x:color rgb="FFD9D3C7"/>
      </x:top>
    </x:border>
  </x:borders>
  <x:cellStyleXfs count="1">
    <x:xf numFmtId="0" fontId="0" fillId="0" borderId="0"/>
  </x:cellStyleXfs>
  <x:cellXfs count="12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4" borderId="0" xfId="0" applyNumberFormat="1" applyFont="1" applyFill="1" applyBorder="1"/>
    <x:xf numFmtId="0" fontId="3" fillId="4" borderId="0" xfId="0" applyNumberFormat="1" applyFont="1" applyFill="1" applyBorder="1"/>
    <x:xf numFmtId="0" fontId="0" fillId="5" borderId="0" xfId="0" applyNumberFormat="1" applyFont="1" applyFill="1" applyBorder="1"/>
    <x:xf numFmtId="0" fontId="0" fillId="5" borderId="1" xfId="0" applyNumberFormat="1" applyFont="1" applyFill="1" applyBorder="1"/>
    <x:xf numFmtId="0" fontId="0" fillId="5" borderId="2" xfId="0" applyNumberFormat="1" applyFont="1" applyFill="1" applyBorder="1"/>
    <x:xf numFmtId="0" fontId="0" fillId="5" borderId="3" xfId="0" applyNumberFormat="1" applyFont="1" applyFill="1" applyBorder="1"/>
    <x:xf numFmtId="0" fontId="0" fillId="5" borderId="4" xfId="0" applyNumberFormat="1" applyFont="1" applyFill="1" applyBorder="1"/>
    <x:xf numFmtId="0" fontId="4" fillId="5" borderId="1" xfId="0" applyNumberFormat="1" applyFont="1" applyFill="1" applyBorder="1"/>
    <x:xf numFmtId="0" fontId="4" fillId="5" borderId="2" xfId="0" applyNumberFormat="1" applyFont="1" applyFill="1" applyBorder="1"/>
    <x:xf numFmtId="0" fontId="5" fillId="5" borderId="2" xfId="0" applyNumberFormat="1" applyFont="1" applyFill="1" applyBorder="1"/>
    <x:xf numFmtId="200" fontId="5" fillId="5" borderId="2" xfId="0" applyNumberFormat="1" applyFont="1" applyFill="1" applyBorder="1"/>
    <x:xf numFmtId="0" fontId="6" fillId="2" borderId="0" xfId="0" applyNumberFormat="1" applyFont="1" applyFill="1" applyBorder="1"/>
    <x:xf numFmtId="0" fontId="0" fillId="6" borderId="0" xfId="0" applyNumberFormat="1" applyFont="1" applyFill="1" applyBorder="1"/>
    <x:xf numFmtId="0" fontId="7" fillId="6" borderId="0" xfId="0" applyNumberFormat="1" applyFont="1" applyFill="1" applyBorder="1"/>
    <x:xf numFmtId="0" fontId="7" fillId="6" borderId="0" xfId="0" applyNumberFormat="1" applyFont="1" applyFill="1" applyBorder="1" applyAlignment="1">
      <x:alignment horizontal="center"/>
    </x:xf>
    <x:xf numFmtId="0" fontId="8" fillId="5" borderId="0" xfId="0" applyNumberFormat="1" applyFont="1" applyFill="1" applyBorder="1"/>
    <x:xf numFmtId="0" fontId="8" fillId="5" borderId="0" xfId="0" applyNumberFormat="1" applyFont="1" applyFill="1" applyBorder="1" applyAlignment="1">
      <x:alignment wrapText="1"/>
    </x:xf>
    <x:xf numFmtId="0" fontId="7" fillId="6" borderId="5" xfId="0" applyNumberFormat="1" applyFont="1" applyFill="1" applyBorder="1" applyAlignment="1">
      <x:alignment horizontal="center"/>
    </x:xf>
    <x:xf numFmtId="0" fontId="8" fillId="5" borderId="5" xfId="0" applyNumberFormat="1" applyFont="1" applyFill="1" applyBorder="1" applyAlignment="1">
      <x:alignment wrapText="1"/>
    </x:xf>
    <x:xf numFmtId="0" fontId="7" fillId="6" borderId="6" xfId="0" applyNumberFormat="1" applyFont="1" applyFill="1" applyBorder="1" applyAlignment="1">
      <x:alignment horizontal="center"/>
    </x:xf>
    <x:xf numFmtId="0" fontId="8" fillId="5" borderId="6" xfId="0" applyNumberFormat="1" applyFont="1" applyFill="1" applyBorder="1" applyAlignment="1">
      <x:alignment wrapText="1"/>
    </x:xf>
    <x:xf numFmtId="0" fontId="7" fillId="6" borderId="7" xfId="0" applyNumberFormat="1" applyFont="1" applyFill="1" applyBorder="1" applyAlignment="1">
      <x:alignment horizontal="center"/>
    </x:xf>
    <x:xf numFmtId="0" fontId="8" fillId="5" borderId="7" xfId="0" applyNumberFormat="1" applyFont="1" applyFill="1" applyBorder="1" applyAlignment="1">
      <x:alignment wrapText="1"/>
    </x:xf>
    <x:xf numFmtId="0" fontId="0" fillId="5" borderId="8" xfId="0" applyNumberFormat="1" applyFont="1" applyFill="1" applyBorder="1"/>
    <x:xf numFmtId="0" fontId="0" fillId="5" borderId="9" xfId="0" applyNumberFormat="1" applyFont="1" applyFill="1" applyBorder="1"/>
    <x:xf numFmtId="0" fontId="0" fillId="7" borderId="0" xfId="0" applyNumberFormat="1" applyFont="1" applyFill="1" applyBorder="1"/>
    <x:xf numFmtId="0" fontId="9" fillId="7" borderId="0" xfId="0" applyNumberFormat="1" applyFont="1" applyFill="1" applyBorder="1"/>
    <x:xf numFmtId="0" fontId="0" fillId="8" borderId="0" xfId="0" applyNumberFormat="1" applyFont="1" applyFill="1" applyBorder="1"/>
    <x:xf numFmtId="0" fontId="8" fillId="8" borderId="0" xfId="0" applyNumberFormat="1" applyFont="1" applyFill="1" applyBorder="1"/>
    <x:xf numFmtId="0" fontId="8" fillId="8" borderId="10" xfId="0" applyNumberFormat="1" applyFont="1" applyFill="1" applyBorder="1"/>
    <x:xf numFmtId="0" fontId="8" fillId="8" borderId="11" xfId="0" applyNumberFormat="1" applyFont="1" applyFill="1" applyBorder="1"/>
    <x:xf numFmtId="0" fontId="8" fillId="8" borderId="12" xfId="0" applyNumberFormat="1" applyFont="1" applyFill="1" applyBorder="1"/>
    <x:xf numFmtId="0" fontId="8" fillId="8" borderId="13" xfId="0" applyNumberFormat="1" applyFont="1" applyFill="1" applyBorder="1"/>
    <x:xf numFmtId="0" fontId="8" fillId="8" borderId="14" xfId="0" applyNumberFormat="1" applyFont="1" applyFill="1" applyBorder="1"/>
    <x:xf numFmtId="0" fontId="8" fillId="8" borderId="15" xfId="0" applyNumberFormat="1" applyFont="1" applyFill="1" applyBorder="1"/>
    <x:xf numFmtId="0" fontId="8" fillId="8" borderId="16" xfId="0" applyNumberFormat="1" applyFont="1" applyFill="1" applyBorder="1"/>
    <x:xf numFmtId="0" fontId="8" fillId="8" borderId="17" xfId="0" applyNumberFormat="1" applyFont="1" applyFill="1" applyBorder="1"/>
    <x:xf numFmtId="0" fontId="8" fillId="8" borderId="10" xfId="0" applyNumberFormat="1" applyFont="1" applyFill="1" applyBorder="1" applyAlignment="1">
      <x:alignment wrapText="1"/>
    </x:xf>
    <x:xf numFmtId="0" fontId="8" fillId="8" borderId="11" xfId="0" applyNumberFormat="1" applyFont="1" applyFill="1" applyBorder="1" applyAlignment="1">
      <x:alignment wrapText="1"/>
    </x:xf>
    <x:xf numFmtId="0" fontId="8" fillId="8" borderId="12" xfId="0" applyNumberFormat="1" applyFont="1" applyFill="1" applyBorder="1" applyAlignment="1">
      <x:alignment wrapText="1"/>
    </x:xf>
    <x:xf numFmtId="0" fontId="8" fillId="8" borderId="13" xfId="0" applyNumberFormat="1" applyFont="1" applyFill="1" applyBorder="1" applyAlignment="1">
      <x:alignment wrapText="1"/>
    </x:xf>
    <x:xf numFmtId="0" fontId="8" fillId="8" borderId="0" xfId="0" applyNumberFormat="1" applyFont="1" applyFill="1" applyBorder="1" applyAlignment="1">
      <x:alignment wrapText="1"/>
    </x:xf>
    <x:xf numFmtId="0" fontId="8" fillId="8" borderId="14" xfId="0" applyNumberFormat="1" applyFont="1" applyFill="1" applyBorder="1" applyAlignment="1">
      <x:alignment wrapText="1"/>
    </x:xf>
    <x:xf numFmtId="0" fontId="8" fillId="8" borderId="15" xfId="0" applyNumberFormat="1" applyFont="1" applyFill="1" applyBorder="1" applyAlignment="1">
      <x:alignment wrapText="1"/>
    </x:xf>
    <x:xf numFmtId="0" fontId="8" fillId="8" borderId="16" xfId="0" applyNumberFormat="1" applyFont="1" applyFill="1" applyBorder="1" applyAlignment="1">
      <x:alignment wrapText="1"/>
    </x:xf>
    <x:xf numFmtId="0" fontId="8" fillId="8" borderId="17" xfId="0" applyNumberFormat="1" applyFont="1" applyFill="1" applyBorder="1" applyAlignment="1">
      <x:alignment wrapText="1"/>
    </x:xf>
    <x:xf numFmtId="0" fontId="8" fillId="8" borderId="10" xfId="0" applyNumberFormat="1" applyFont="1" applyFill="1" applyBorder="1" applyAlignment="1">
      <x:alignment vertical="center" wrapText="1"/>
    </x:xf>
    <x:xf numFmtId="0" fontId="8" fillId="8" borderId="11" xfId="0" applyNumberFormat="1" applyFont="1" applyFill="1" applyBorder="1" applyAlignment="1">
      <x:alignment vertical="center" wrapText="1"/>
    </x:xf>
    <x:xf numFmtId="0" fontId="8" fillId="8" borderId="12" xfId="0" applyNumberFormat="1" applyFont="1" applyFill="1" applyBorder="1" applyAlignment="1">
      <x:alignment vertical="center" wrapText="1"/>
    </x:xf>
    <x:xf numFmtId="0" fontId="8" fillId="8" borderId="13" xfId="0" applyNumberFormat="1" applyFont="1" applyFill="1" applyBorder="1" applyAlignment="1">
      <x:alignment vertical="center" wrapText="1"/>
    </x:xf>
    <x:xf numFmtId="0" fontId="8" fillId="8" borderId="0" xfId="0" applyNumberFormat="1" applyFont="1" applyFill="1" applyBorder="1" applyAlignment="1">
      <x:alignment vertical="center" wrapText="1"/>
    </x:xf>
    <x:xf numFmtId="0" fontId="8" fillId="8" borderId="14" xfId="0" applyNumberFormat="1" applyFont="1" applyFill="1" applyBorder="1" applyAlignment="1">
      <x:alignment vertical="center" wrapText="1"/>
    </x:xf>
    <x:xf numFmtId="0" fontId="8" fillId="8" borderId="15" xfId="0" applyNumberFormat="1" applyFont="1" applyFill="1" applyBorder="1" applyAlignment="1">
      <x:alignment vertical="center" wrapText="1"/>
    </x:xf>
    <x:xf numFmtId="0" fontId="8" fillId="8" borderId="16" xfId="0" applyNumberFormat="1" applyFont="1" applyFill="1" applyBorder="1" applyAlignment="1">
      <x:alignment vertical="center" wrapText="1"/>
    </x:xf>
    <x:xf numFmtId="0" fontId="8" fillId="8" borderId="17" xfId="0" applyNumberFormat="1" applyFont="1" applyFill="1" applyBorder="1" applyAlignment="1">
      <x:alignment vertical="center" wrapText="1"/>
    </x:xf>
    <x:xf numFmtId="0" fontId="10" fillId="2" borderId="0" xfId="0" applyNumberFormat="1" applyFont="1" applyFill="1" applyBorder="1"/>
    <x:xf numFmtId="0" fontId="10" fillId="2" borderId="0" xfId="0" applyNumberFormat="1" applyFont="1" applyFill="1" applyBorder="1" applyAlignment="1">
      <x:alignment wrapText="1"/>
    </x:xf>
    <x:xf numFmtId="0" fontId="10" fillId="2" borderId="0" xfId="0" applyNumberFormat="1" applyFont="1" applyFill="1" applyBorder="1" applyAlignment="1">
      <x:alignment vertical="center" wrapText="1"/>
    </x:xf>
    <x:xf numFmtId="0" fontId="11" fillId="5" borderId="0" xfId="0" applyNumberFormat="1" applyFont="1" applyFill="1" applyBorder="1"/>
    <x:xf numFmtId="0" fontId="11" fillId="5" borderId="0" xfId="0" applyNumberFormat="1" applyFont="1" applyFill="1" applyBorder="1" applyAlignment="1">
      <x:alignment vertical="top"/>
    </x:xf>
    <x:xf numFmtId="0" fontId="11" fillId="5" borderId="0" xfId="0" applyNumberFormat="1" applyFont="1" applyFill="1" applyBorder="1" applyAlignment="1">
      <x:alignment vertical="top" wrapText="1"/>
    </x:xf>
    <x:xf numFmtId="0" fontId="11" fillId="8" borderId="0" xfId="0" applyNumberFormat="1" applyFont="1" applyFill="1" applyBorder="1" applyAlignment="1">
      <x:alignment vertical="top"/>
    </x:xf>
    <x:xf numFmtId="0" fontId="11" fillId="8" borderId="0" xfId="0" applyNumberFormat="1" applyFont="1" applyFill="1" applyBorder="1" applyAlignment="1">
      <x:alignment vertical="top" wrapText="1"/>
    </x:xf>
    <x:xf numFmtId="201" fontId="11" fillId="8" borderId="0" xfId="0" applyNumberFormat="1" applyFont="1" applyFill="1" applyBorder="1" applyAlignment="1">
      <x:alignment vertical="top"/>
    </x:xf>
    <x:xf numFmtId="0" fontId="11" fillId="5" borderId="0" xfId="0" applyNumberFormat="1" applyFont="1" applyFill="1" applyBorder="1" applyAlignment="1">
      <x:alignment wrapText="1"/>
    </x:xf>
    <x:xf numFmtId="0" fontId="11" fillId="9" borderId="0" xfId="0" applyNumberFormat="1" applyFont="1" applyFill="1" applyBorder="1" applyAlignment="1">
      <x:alignment vertical="top" wrapText="1"/>
    </x:xf>
    <x:xf numFmtId="0" fontId="0" fillId="5" borderId="18" xfId="0" applyNumberFormat="1" applyFont="1" applyFill="1" applyBorder="1"/>
    <x:xf numFmtId="0" fontId="0" fillId="5" borderId="19" xfId="0" applyNumberFormat="1" applyFont="1" applyFill="1" applyBorder="1"/>
    <x:xf numFmtId="0" fontId="0" fillId="5" borderId="20" xfId="0" applyNumberFormat="1" applyFont="1" applyFill="1" applyBorder="1"/>
    <x:xf numFmtId="0" fontId="12" fillId="4" borderId="0" xfId="0" applyNumberFormat="1" applyFont="1" applyFill="1" applyBorder="1"/>
    <x:xf numFmtId="0" fontId="13" fillId="5" borderId="0" xfId="0" applyNumberFormat="1" applyFont="1" applyFill="1" applyBorder="1"/>
    <x:xf numFmtId="202" fontId="13" fillId="5" borderId="0" xfId="0" applyNumberFormat="1" applyFont="1" applyFill="1" applyBorder="1"/>
    <x:xf numFmtId="203" fontId="0" fillId="5" borderId="18" xfId="0" applyNumberFormat="1" applyFont="1" applyFill="1" applyBorder="1"/>
    <x:xf numFmtId="203" fontId="0" fillId="5" borderId="19" xfId="0" applyNumberFormat="1" applyFont="1" applyFill="1" applyBorder="1"/>
    <x:xf numFmtId="203" fontId="0" fillId="5" borderId="20" xfId="0" applyNumberFormat="1" applyFont="1" applyFill="1" applyBorder="1"/>
    <x:xf numFmtId="204" fontId="0" fillId="5" borderId="3" xfId="0" applyNumberFormat="1" applyFont="1" applyFill="1" applyBorder="1"/>
    <x:xf numFmtId="204" fontId="0" fillId="5" borderId="9" xfId="0" applyNumberFormat="1" applyFont="1" applyFill="1" applyBorder="1"/>
    <x:xf numFmtId="204" fontId="0" fillId="5" borderId="1" xfId="0" applyNumberFormat="1" applyFont="1" applyFill="1" applyBorder="1"/>
    <x:xf numFmtId="0" fontId="14" fillId="5" borderId="0" xfId="0" applyNumberFormat="1" applyFont="1" applyFill="1" applyBorder="1"/>
    <x:xf numFmtId="203" fontId="0" fillId="0" borderId="0" xfId="0" applyNumberFormat="1" applyFont="1" applyFill="1" applyBorder="1"/>
    <x:xf numFmtId="204" fontId="0" fillId="0" borderId="0" xfId="0" applyNumberFormat="1" applyFont="1" applyFill="1" applyBorder="1"/>
    <x:xf numFmtId="202" fontId="0" fillId="0" borderId="0" xfId="0" applyNumberFormat="1" applyFont="1" applyFill="1" applyBorder="1"/>
    <x:xf numFmtId="0" fontId="15" fillId="2" borderId="0" xfId="0" applyNumberFormat="1" applyFont="1" applyFill="1" applyBorder="1"/>
    <x:xf numFmtId="0" fontId="8" fillId="5" borderId="4" xfId="0" applyNumberFormat="1" applyFont="1" applyFill="1" applyBorder="1"/>
    <x:xf numFmtId="0" fontId="8" fillId="5" borderId="18" xfId="0" applyNumberFormat="1" applyFont="1" applyFill="1" applyBorder="1"/>
    <x:xf numFmtId="0" fontId="8" fillId="5" borderId="3" xfId="0" applyNumberFormat="1" applyFont="1" applyFill="1" applyBorder="1"/>
    <x:xf numFmtId="0" fontId="8" fillId="5" borderId="8" xfId="0" applyNumberFormat="1" applyFont="1" applyFill="1" applyBorder="1"/>
    <x:xf numFmtId="0" fontId="8" fillId="5" borderId="19" xfId="0" applyNumberFormat="1" applyFont="1" applyFill="1" applyBorder="1"/>
    <x:xf numFmtId="0" fontId="8" fillId="5" borderId="9" xfId="0" applyNumberFormat="1" applyFont="1" applyFill="1" applyBorder="1"/>
    <x:xf numFmtId="0" fontId="8" fillId="5" borderId="2" xfId="0" applyNumberFormat="1" applyFont="1" applyFill="1" applyBorder="1"/>
    <x:xf numFmtId="0" fontId="8" fillId="5" borderId="20" xfId="0" applyNumberFormat="1" applyFont="1" applyFill="1" applyBorder="1"/>
    <x:xf numFmtId="0" fontId="8" fillId="5" borderId="1" xfId="0" applyNumberFormat="1" applyFont="1" applyFill="1" applyBorder="1"/>
    <x:xf numFmtId="0" fontId="8" fillId="5" borderId="4" xfId="0" applyNumberFormat="1" applyFont="1" applyFill="1" applyBorder="1" applyAlignment="1">
      <x:alignment wrapText="1"/>
    </x:xf>
    <x:xf numFmtId="0" fontId="8" fillId="5" borderId="18" xfId="0" applyNumberFormat="1" applyFont="1" applyFill="1" applyBorder="1" applyAlignment="1">
      <x:alignment wrapText="1"/>
    </x:xf>
    <x:xf numFmtId="0" fontId="8" fillId="5" borderId="3" xfId="0" applyNumberFormat="1" applyFont="1" applyFill="1" applyBorder="1" applyAlignment="1">
      <x:alignment wrapText="1"/>
    </x:xf>
    <x:xf numFmtId="0" fontId="8" fillId="5" borderId="8" xfId="0" applyNumberFormat="1" applyFont="1" applyFill="1" applyBorder="1" applyAlignment="1">
      <x:alignment wrapText="1"/>
    </x:xf>
    <x:xf numFmtId="0" fontId="8" fillId="5" borderId="19" xfId="0" applyNumberFormat="1" applyFont="1" applyFill="1" applyBorder="1" applyAlignment="1">
      <x:alignment wrapText="1"/>
    </x:xf>
    <x:xf numFmtId="0" fontId="8" fillId="5" borderId="9" xfId="0" applyNumberFormat="1" applyFont="1" applyFill="1" applyBorder="1" applyAlignment="1">
      <x:alignment wrapText="1"/>
    </x:xf>
    <x:xf numFmtId="0" fontId="8" fillId="5" borderId="2" xfId="0" applyNumberFormat="1" applyFont="1" applyFill="1" applyBorder="1" applyAlignment="1">
      <x:alignment wrapText="1"/>
    </x:xf>
    <x:xf numFmtId="0" fontId="8" fillId="5" borderId="20" xfId="0" applyNumberFormat="1" applyFont="1" applyFill="1" applyBorder="1" applyAlignment="1">
      <x:alignment wrapText="1"/>
    </x:xf>
    <x:xf numFmtId="0" fontId="8" fillId="5" borderId="1" xfId="0" applyNumberFormat="1" applyFont="1" applyFill="1" applyBorder="1" applyAlignment="1">
      <x:alignment wrapText="1"/>
    </x:xf>
    <x:xf numFmtId="0" fontId="8" fillId="5" borderId="4" xfId="0" applyNumberFormat="1" applyFont="1" applyFill="1" applyBorder="1" applyAlignment="1">
      <x:alignment vertical="top" wrapText="1"/>
    </x:xf>
    <x:xf numFmtId="0" fontId="8" fillId="5" borderId="18" xfId="0" applyNumberFormat="1" applyFont="1" applyFill="1" applyBorder="1" applyAlignment="1">
      <x:alignment vertical="top" wrapText="1"/>
    </x:xf>
    <x:xf numFmtId="0" fontId="8" fillId="5" borderId="3" xfId="0" applyNumberFormat="1" applyFont="1" applyFill="1" applyBorder="1" applyAlignment="1">
      <x:alignment vertical="top" wrapText="1"/>
    </x:xf>
    <x:xf numFmtId="0" fontId="8" fillId="5" borderId="8" xfId="0" applyNumberFormat="1" applyFont="1" applyFill="1" applyBorder="1" applyAlignment="1">
      <x:alignment vertical="top" wrapText="1"/>
    </x:xf>
    <x:xf numFmtId="0" fontId="8" fillId="5" borderId="19" xfId="0" applyNumberFormat="1" applyFont="1" applyFill="1" applyBorder="1" applyAlignment="1">
      <x:alignment vertical="top" wrapText="1"/>
    </x:xf>
    <x:xf numFmtId="0" fontId="8" fillId="5" borderId="9" xfId="0" applyNumberFormat="1" applyFont="1" applyFill="1" applyBorder="1" applyAlignment="1">
      <x:alignment vertical="top" wrapText="1"/>
    </x:xf>
    <x:xf numFmtId="0" fontId="8" fillId="5" borderId="2" xfId="0" applyNumberFormat="1" applyFont="1" applyFill="1" applyBorder="1" applyAlignment="1">
      <x:alignment vertical="top" wrapText="1"/>
    </x:xf>
    <x:xf numFmtId="0" fontId="8" fillId="5" borderId="20" xfId="0" applyNumberFormat="1" applyFont="1" applyFill="1" applyBorder="1" applyAlignment="1">
      <x:alignment vertical="top" wrapText="1"/>
    </x:xf>
    <x:xf numFmtId="0" fontId="8" fillId="5" borderId="1" xfId="0" applyNumberFormat="1" applyFont="1" applyFill="1" applyBorder="1" applyAlignment="1">
      <x:alignment vertical="top" wrapText="1"/>
    </x:xf>
    <x:xf numFmtId="0" fontId="8" fillId="6" borderId="4" xfId="0" applyNumberFormat="1" applyFont="1" applyFill="1" applyBorder="1" applyAlignment="1">
      <x:alignment vertical="top" wrapText="1"/>
    </x:xf>
    <x:xf numFmtId="0" fontId="16" fillId="6" borderId="4" xfId="0" applyNumberFormat="1" applyFont="1" applyFill="1" applyBorder="1" applyAlignment="1">
      <x:alignment vertical="top" wrapText="1"/>
    </x:xf>
    <x:xf numFmtId="0" fontId="8" fillId="10" borderId="8" xfId="0" applyNumberFormat="1" applyFont="1" applyFill="1" applyBorder="1" applyAlignment="1">
      <x:alignment vertical="top" wrapText="1"/>
    </x:xf>
    <x:xf numFmtId="0" fontId="17" fillId="10" borderId="8" xfId="0" applyNumberFormat="1" applyFont="1" applyFill="1" applyBorder="1" applyAlignment="1">
      <x:alignment vertical="top" wrapText="1"/>
    </x:xf>
    <x:xf numFmtId="0" fontId="8" fillId="7" borderId="2" xfId="0" applyNumberFormat="1" applyFont="1" applyFill="1" applyBorder="1" applyAlignment="1">
      <x:alignment vertical="top" wrapText="1"/>
    </x:xf>
    <x:xf numFmtId="0" fontId="18" fillId="7" borderId="2" xfId="0" applyNumberFormat="1" applyFont="1" applyFill="1" applyBorder="1" applyAlignment="1">
      <x:alignment vertical="top" wrapText="1"/>
    </x:xf>
    <x:xf numFmtId="0" fontId="19" fillId="5" borderId="0" xfId="0" applyNumberFormat="1" applyFont="1" applyFill="1" applyBorder="1"/>
    <x:xf numFmtId="0" fontId="19" fillId="5" borderId="0" xfId="0" applyNumberFormat="1" applyFont="1" applyFill="1" applyBorder="1" applyAlignment="1">
      <x:alignment wrapText="1"/>
    </x:xf>
    <x:xf numFmtId="205" fontId="19" fillId="5" borderId="0" xfId="0" applyNumberFormat="1" applyFont="1" applyFill="1" applyBorder="1" applyAlignment="1">
      <x:alignment wrapText="1"/>
    </x:xf>
    <x:xf numFmtId="206" fontId="0" fillId="0" borderId="0" xfId="0" applyNumberFormat="1" applyFont="1" applyFill="1" applyBorder="1"/>
  </x:cellXfs>
  <x:cellStyles count="1">
    <x:cellStyle name="Normal" xfId="0"/>
  </x:cellStyles>
  <x:dxfs count="7">
    <x:dxf>
      <x:font>
        <x:b/>
        <x:color rgb="FF277B78"/>
      </x:font>
      <x:fill>
        <x:patternFill patternType="solid">
          <x:bgColor rgb="FFDCEEEB"/>
        </x:patternFill>
      </x:fill>
    </x:dxf>
    <x:dxf>
      <x:font>
        <x:b/>
        <x:color rgb="FF9D4638"/>
      </x:font>
      <x:fill>
        <x:patternFill patternType="solid">
          <x:bgColor rgb="FFF4E2DD"/>
        </x:patternFill>
      </x:fill>
    </x:dxf>
    <x:dxf>
      <x:font>
        <x:b/>
        <x:color rgb="FFA87924"/>
      </x:font>
      <x:fill>
        <x:patternFill patternType="solid">
          <x:bgColor rgb="FFF6ECD5"/>
        </x:patternFill>
      </x:fill>
    </x:dxf>
    <x:dxf>
      <x:font>
        <x:b/>
        <x:color rgb="FFA87924"/>
      </x:font>
      <x:fill>
        <x:patternFill patternType="solid">
          <x:bgColor rgb="FFF6ECD5"/>
        </x:patternFill>
      </x:fill>
    </x:dxf>
    <x:dxf>
      <x:font>
        <x:b/>
        <x:color rgb="FF277B78"/>
      </x:font>
      <x:fill>
        <x:patternFill patternType="solid">
          <x:bgColor rgb="FFDCEEEB"/>
        </x:patternFill>
      </x:fill>
    </x:dxf>
    <x:dxf>
      <x:font>
        <x:b/>
        <x:color rgb="FF9D4638"/>
      </x:font>
      <x:fill>
        <x:patternFill patternType="solid">
          <x:bgColor rgb="FFF4E2DD"/>
        </x:patternFill>
      </x:fill>
    </x:dxf>
    <x:dxf>
      <x:font>
        <x:b/>
        <x:color rgb="FFA87924"/>
      </x:font>
      <x:fill>
        <x:patternFill patternType="solid">
          <x:bgColor rgb="FFF6ECD5"/>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3ab93b5b7054b2a" /><Relationship Type="http://schemas.openxmlformats.org/officeDocument/2006/relationships/theme" Target="/xl/theme/theme1.xml" Id="Rc64685bfac954e89" /><Relationship Type="http://schemas.openxmlformats.org/officeDocument/2006/relationships/sharedStrings" Target="/xl/sharedStrings.xml" Id="R8ec19f0319754de2" /><Relationship Type="http://schemas.openxmlformats.org/officeDocument/2006/relationships/worksheet" Target="/xl/worksheets/sheet1.xml" Id="Rcc254557d63a4080" /><Relationship Type="http://schemas.openxmlformats.org/officeDocument/2006/relationships/worksheet" Target="/xl/worksheets/sheet2.xml" Id="Rceef8eb7a5914811" /><Relationship Type="http://schemas.openxmlformats.org/officeDocument/2006/relationships/worksheet" Target="/xl/worksheets/sheet3.xml" Id="Ra37b6605a35d4e64" /><Relationship Type="http://schemas.openxmlformats.org/officeDocument/2006/relationships/worksheet" Target="/xl/worksheets/sheet4.xml" Id="Rea6d28af773a4fc6" /><Relationship Type="http://schemas.openxmlformats.org/officeDocument/2006/relationships/worksheet" Target="/xl/worksheets/sheet5.xml" Id="Ra20d5d30e1aa4314" /><Relationship Type="http://schemas.openxmlformats.org/officeDocument/2006/relationships/worksheet" Target="/xl/worksheets/sheet6.xml" Id="R83af01a4e60f45fc" /></Relationships>
</file>

<file path=xl/drawings/_rels/drawing1.xml.rels>&#65279;<?xml version="1.0" encoding="utf-8"?><Relationships xmlns="http://schemas.openxmlformats.org/package/2006/relationships"><Relationship Type="http://schemas.openxmlformats.org/officeDocument/2006/relationships/chart" Target="/xl/drawings/charts/chart1.xml" Id="R7d08bb5e82c0444f"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Labeling progress (count)</a:t>
            </a:r>
          </a:p>
        </c:rich>
      </c:tx>
      <c:overlay val="0"/>
    </c:title>
    <c:plotArea>
      <c:barChart>
        <c:barDir val="col"/>
        <c:varyColors val="0"/>
        <c:ser>
          <c:idx val="0"/>
          <c:order val="0"/>
          <c:tx>
            <c:v>Count</c:v>
          </c:tx>
          <c:cat>
            <c:strRef>
              <c:f>'Start Here'!$A$20:$A$23</c:f>
              <c:strCache>
                <c:ptCount val="0"/>
              </c:strCache>
            </c:strRef>
          </c:cat>
          <c:val>
            <c:numRef>
              <c:f>'Start Here'!$B$20:$B$23</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18</xdr:row>
      <xdr:rowOff>0</xdr:rowOff>
    </xdr:from>
    <xdr:to>
      <xdr:col>8</xdr:col>
      <xdr:colOff>0</xdr:colOff>
      <xdr:row>32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d08bb5e82c0444f"/>
        </a:graphicData>
      </a:graphic>
    </xdr:graphicFrame>
    <xdr:clientData/>
  </xdr:twoCellAnchor>
</xdr:wsDr>
</file>

<file path=xl/tables/table1.xml><?xml version="1.0" encoding="utf-8"?>
<x:table xmlns:x="http://schemas.openxmlformats.org/spreadsheetml/2006/main" id="1" name="ManualLabelsTable" displayName="ManualLabelsTable" ref="A1:P121" headerRowCount="1" totalsRowCount="0" totalsRowShown="0">
  <x:autoFilter ref="A1:P121"/>
  <x:tableColumns count="16">
    <x:tableColumn id="1" name="sample_id"/>
    <x:tableColumn id="2" name="notice_id"/>
    <x:tableColumn id="3" name="country"/>
    <x:tableColumn id="4" name="human_label"/>
    <x:tableColumn id="5" name="confidence"/>
    <x:tableColumn id="6" name="decision_reason"/>
    <x:tableColumn id="7" name="publication_date"/>
    <x:tableColumn id="8" name="buyer"/>
    <x:tableColumn id="9" name="sector"/>
    <x:tableColumn id="10" name="title"/>
    <x:tableColumn id="11" name="cpv_codes"/>
    <x:tableColumn id="12" name="description_excerpt"/>
    <x:tableColumn id="13" name="ted_url"/>
    <x:tableColumn id="14" name="reviewer"/>
    <x:tableColumn id="15" name="reviewed_date"/>
    <x:tableColumn id="16" name="review_status"/>
  </x:tableColumns>
  <x:tableStyleInfo name="TableStyleMedium2" showFirstColumn="0" showLastColumn="0" showRowStripes="1" showColumnStripes="0"/>
</x:table>
</file>

<file path=xl/tables/table2.xml><?xml version="1.0" encoding="utf-8"?>
<x:table xmlns:x="http://schemas.openxmlformats.org/spreadsheetml/2006/main" id="2" name="HumanReviewQueueTable" displayName="HumanReviewQueueTable" ref="A5:I30" headerRowCount="1" totalsRowCount="0" totalsRowShown="0">
  <x:autoFilter ref="A5:I30"/>
  <x:tableColumns count="9">
    <x:tableColumn id="1" name="sample_id"/>
    <x:tableColumn id="2" name="country"/>
    <x:tableColumn id="3" name="suggested_label"/>
    <x:tableColumn id="4" name="final_decision"/>
    <x:tableColumn id="5" name="confidence"/>
    <x:tableColumn id="6" name="what_to_check_tr"/>
    <x:tableColumn id="7" name="title"/>
    <x:tableColumn id="8" name="evidence_excerpt"/>
    <x:tableColumn id="9" name="ted_url"/>
  </x:tableColumns>
  <x:tableStyleInfo name="TableStyleMedium2" showFirstColumn="0" showLastColumn="0" showRowStripes="1" showColumnStripes="0"/>
</x:table>
</file>

<file path=xl/tables/table3.xml><?xml version="1.0" encoding="utf-8"?>
<x:table xmlns:x="http://schemas.openxmlformats.org/spreadsheetml/2006/main" id="3" name="PreliminaryCountryMetricsTable" displayName="PreliminaryCountryMetricsTable" ref="A17:H20" headerRowCount="1" totalsRowCount="0" totalsRowShown="0">
  <x:tableColumns count="8">
    <x:tableColumn id="1" name="Country"/>
    <x:tableColumn id="2" name="Decided"/>
    <x:tableColumn id="3" name="TP (weighted)"/>
    <x:tableColumn id="4" name="FP (weighted)"/>
    <x:tableColumn id="5" name="FN (weighted)"/>
    <x:tableColumn id="6" name="TN (weighted)"/>
    <x:tableColumn id="7" name="Precision"/>
    <x:tableColumn id="8" name="Recall"/>
  </x:tableColumns>
  <x:tableStyleInfo name="TableStyleMedium2" showFirstColumn="0" showLastColumn="0" showRowStripes="1" showColumnStripes="0"/>
</x:table>
</file>

<file path=xl/tables/table4.xml><?xml version="1.0" encoding="utf-8"?>
<x:table xmlns:x="http://schemas.openxmlformats.org/spreadsheetml/2006/main" id="4" name="SamplingStrataTable" displayName="SamplingStrataTable" ref="A15:F24" headerRowCount="1" totalsRowCount="0" totalsRowShown="0">
  <x:tableColumns count="6">
    <x:tableColumn id="1" name="Country"/>
    <x:tableColumn id="2" name="Band"/>
    <x:tableColumn id="3" name="Population"/>
    <x:tableColumn id="4" name="Sample"/>
    <x:tableColumn id="5" name="Selection probability"/>
    <x:tableColumn id="6" name="Sample weigh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7282c58842fa45f7" /></Relationships>
</file>

<file path=xl/worksheets/_rels/sheet2.xml.rels>&#65279;<?xml version="1.0" encoding="utf-8"?><Relationships xmlns="http://schemas.openxmlformats.org/package/2006/relationships"><Relationship Type="http://schemas.openxmlformats.org/officeDocument/2006/relationships/table" Target="/xl/tables/table1.xml" Id="R004dde6b32a6425d" /></Relationships>
</file>

<file path=xl/worksheets/_rels/sheet3.xml.rels>&#65279;<?xml version="1.0" encoding="utf-8"?><Relationships xmlns="http://schemas.openxmlformats.org/package/2006/relationships"><Relationship Type="http://schemas.openxmlformats.org/officeDocument/2006/relationships/table" Target="/xl/tables/table2.xml" Id="Rc3aa335321f94c5b" /></Relationships>
</file>

<file path=xl/worksheets/_rels/sheet4.xml.rels>&#65279;<?xml version="1.0" encoding="utf-8"?><Relationships xmlns="http://schemas.openxmlformats.org/package/2006/relationships"><Relationship Type="http://schemas.openxmlformats.org/officeDocument/2006/relationships/table" Target="/xl/tables/table3.xml" Id="R8a8dd02387d841d5" /></Relationships>
</file>

<file path=xl/worksheets/_rels/sheet6.xml.rels>&#65279;<?xml version="1.0" encoding="utf-8"?><Relationships xmlns="http://schemas.openxmlformats.org/package/2006/relationships"><Relationship Type="http://schemas.openxmlformats.org/officeDocument/2006/relationships/table" Target="/xl/tables/table4.xml" Id="R9c6116d190a943b2" /></Relationships>
</file>

<file path=xl/worksheets/sheet1.xml><?xml version="1.0" encoding="utf-8"?>
<x:worksheet xmlns:x="http://schemas.openxmlformats.org/spreadsheetml/2006/main">
  <x:sheetViews>
    <x:sheetView showGridLines="0" workbookViewId="0"/>
  </x:sheetViews>
  <x:sheetFormatPr defaultRowHeight="15"/>
  <x:cols>
    <x:col min="1" max="1" width="12" hidden="0" customWidth="1"/>
    <x:col min="2" max="2" width="24"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s>
  <x:sheetData>
    <x:row r="1" ht="27" customHeight="1">
      <x:c r="A1" s="3" t="str">
        <x:v>AI-assisted Labeling — Round 1</x:v>
      </x:c>
      <x:c r="B1" s="3"/>
      <x:c r="C1" s="3"/>
      <x:c r="D1" s="3"/>
      <x:c r="E1" s="3"/>
      <x:c r="F1" s="3"/>
      <x:c r="G1" s="3"/>
      <x:c r="H1" s="3"/>
    </x:row>
    <x:row r="2" ht="27" customHeight="1">
      <x:c r="A2" s="3"/>
      <x:c r="B2" s="3"/>
      <x:c r="C2" s="3"/>
      <x:c r="D2" s="3"/>
      <x:c r="E2" s="3"/>
      <x:c r="F2" s="3"/>
      <x:c r="G2" s="3"/>
      <x:c r="H2" s="3"/>
    </x:row>
    <x:row r="3" ht="24" customHeight="1">
      <x:c r="A3" s="6" t="str">
        <x:v>Preliminary draft · 25 flagged decisions remain for human review</x:v>
      </x:c>
      <x:c r="B3" s="6"/>
      <x:c r="C3" s="6"/>
      <x:c r="D3" s="6"/>
      <x:c r="E3" s="6"/>
      <x:c r="F3" s="6"/>
      <x:c r="G3" s="6"/>
      <x:c r="H3" s="6"/>
    </x:row>
    <x:row r="5">
      <x:c r="A5" s="8" t="str">
        <x:v>Progress snapshot</x:v>
      </x:c>
      <x:c r="B5" s="8"/>
      <x:c r="C5" s="8"/>
      <x:c r="D5" s="8"/>
      <x:c r="E5" s="8"/>
      <x:c r="F5" s="8"/>
      <x:c r="G5" s="8"/>
      <x:c r="H5" s="8"/>
    </x:row>
    <x:row r="7">
      <x:c r="A7" s="14" t="str">
        <x:v>Sample</x:v>
      </x:c>
      <x:c r="B7" s="16" t="n">
        <x:f>COUNTA('Labels'!$A$2:$A$121)</x:f>
        <x:v>120</x:v>
      </x:c>
      <x:c r="C7" s="14" t="str">
        <x:v>Decided</x:v>
      </x:c>
      <x:c r="D7" s="16" t="n">
        <x:f>COUNTIF('Labels'!$D$2:$D$121,"Relevant")+COUNTIF('Labels'!$D$2:$D$121,"Not relevant")</x:f>
        <x:v>116</x:v>
      </x:c>
      <x:c r="E7" s="14" t="str">
        <x:v>Unsure</x:v>
      </x:c>
      <x:c r="F7" s="16" t="n">
        <x:f>COUNTIF('Labels'!$D$2:$D$121,"Unsure")</x:f>
        <x:v>4</x:v>
      </x:c>
      <x:c r="G7" s="14" t="str">
        <x:v>Decision rate</x:v>
      </x:c>
      <x:c r="H7" s="17" t="n">
        <x:f>IF(B7=0,0,D7/B7)</x:f>
        <x:v>0.9666666666666667</x:v>
      </x:c>
    </x:row>
    <x:row r="8">
      <x:c r="A8" s="12"/>
      <x:c r="B8" s="13"/>
      <x:c r="C8" s="12"/>
      <x:c r="D8" s="13"/>
      <x:c r="E8" s="12"/>
      <x:c r="F8" s="13"/>
      <x:c r="G8" s="12"/>
      <x:c r="H8" s="13"/>
    </x:row>
    <x:row r="10">
      <x:c r="A10" s="18" t="str">
        <x:v>How to finish this round</x:v>
      </x:c>
      <x:c r="B10" s="18"/>
      <x:c r="C10" s="18"/>
      <x:c r="D10" s="18"/>
      <x:c r="E10" s="18"/>
      <x:c r="F10" s="18"/>
      <x:c r="G10" s="18"/>
      <x:c r="H10" s="18"/>
    </x:row>
    <x:row r="11" ht="25" customHeight="1">
      <x:c r="A11" s="24" t="str">
        <x:v>1</x:v>
      </x:c>
      <x:c r="B11" s="25" t="str">
        <x:v>The AI-assisted first pass is complete; do not review all 120 rows.</x:v>
      </x:c>
      <x:c r="C11" s="25"/>
      <x:c r="D11" s="25"/>
      <x:c r="E11" s="25"/>
      <x:c r="F11" s="25"/>
      <x:c r="G11" s="25"/>
      <x:c r="H11" s="25"/>
    </x:row>
    <x:row r="12" ht="25" customHeight="1">
      <x:c r="A12" s="26" t="str">
        <x:v>2</x:v>
      </x:c>
      <x:c r="B12" s="27" t="str">
        <x:v>Open Review Queue. It contains only the 25 decisions needing attention.</x:v>
      </x:c>
      <x:c r="C12" s="27"/>
      <x:c r="D12" s="27"/>
      <x:c r="E12" s="27"/>
      <x:c r="F12" s="27"/>
      <x:c r="G12" s="27"/>
      <x:c r="H12" s="27"/>
    </x:row>
    <x:row r="13" ht="25" customHeight="1">
      <x:c r="A13" s="26" t="str">
        <x:v>3</x:v>
      </x:c>
      <x:c r="B13" s="27" t="str">
        <x:v>Read the suggested label and the plain-Turkish review note.</x:v>
      </x:c>
      <x:c r="C13" s="27"/>
      <x:c r="D13" s="27"/>
      <x:c r="E13" s="27"/>
      <x:c r="F13" s="27"/>
      <x:c r="G13" s="27"/>
      <x:c r="H13" s="27"/>
    </x:row>
    <x:row r="14" ht="25" customHeight="1">
      <x:c r="A14" s="26" t="str">
        <x:v>4</x:v>
      </x:c>
      <x:c r="B14" s="27" t="str">
        <x:v>Use the official TED link only when you want more context.</x:v>
      </x:c>
      <x:c r="C14" s="27"/>
      <x:c r="D14" s="27"/>
      <x:c r="E14" s="27"/>
      <x:c r="F14" s="27"/>
      <x:c r="G14" s="27"/>
      <x:c r="H14" s="27"/>
    </x:row>
    <x:row r="15" ht="25" customHeight="1">
      <x:c r="A15" s="26" t="str">
        <x:v>5</x:v>
      </x:c>
      <x:c r="B15" s="27" t="str">
        <x:v>Choose a final decision in the yellow column; Unsure is acceptable.</x:v>
      </x:c>
      <x:c r="C15" s="27"/>
      <x:c r="D15" s="27"/>
      <x:c r="E15" s="27"/>
      <x:c r="F15" s="27"/>
      <x:c r="G15" s="27"/>
      <x:c r="H15" s="27"/>
    </x:row>
    <x:row r="16" ht="25" customHeight="1">
      <x:c r="A16" s="28" t="str">
        <x:v>6</x:v>
      </x:c>
      <x:c r="B16" s="29" t="str">
        <x:v>Save the workbook and tell Codex that the review queue is ready.</x:v>
      </x:c>
      <x:c r="C16" s="29"/>
      <x:c r="D16" s="29"/>
      <x:c r="E16" s="29"/>
      <x:c r="F16" s="29"/>
      <x:c r="G16" s="29"/>
      <x:c r="H16" s="29"/>
    </x:row>
    <x:row r="19">
      <x:c r="A19" s="18" t="str">
        <x:v>Status</x:v>
      </x:c>
      <x:c r="B19" s="18" t="str">
        <x:v>Count</x:v>
      </x:c>
    </x:row>
    <x:row r="20">
      <x:c r="A20" s="13" t="str">
        <x:v>Relevant</x:v>
      </x:c>
      <x:c r="B20" s="12" t="n">
        <x:f>COUNTIF('Labels'!$D$2:$D$121,"Relevant")</x:f>
        <x:v>42</x:v>
      </x:c>
    </x:row>
    <x:row r="21">
      <x:c r="A21" s="30" t="str">
        <x:v>Not relevant</x:v>
      </x:c>
      <x:c r="B21" s="31" t="n">
        <x:f>COUNTIF('Labels'!$D$2:$D$121,"Not relevant")</x:f>
        <x:v>74</x:v>
      </x:c>
    </x:row>
    <x:row r="22">
      <x:c r="A22" s="30" t="str">
        <x:v>Unsure</x:v>
      </x:c>
      <x:c r="B22" s="31" t="n">
        <x:f>COUNTIF('Labels'!$D$2:$D$121,"Unsure")</x:f>
        <x:v>4</x:v>
      </x:c>
    </x:row>
    <x:row r="23">
      <x:c r="A23" s="11" t="str">
        <x:v>Blank</x:v>
      </x:c>
      <x:c r="B23" s="10" t="n">
        <x:f>COUNTA('Labels'!$A$2:$A$121)-SUM(B20:B22)</x:f>
        <x:v>0</x:v>
      </x:c>
    </x:row>
    <x:row r="26">
      <x:c r="A26" s="18" t="str">
        <x:v>Human review</x:v>
      </x:c>
      <x:c r="B26" s="18" t="str">
        <x:v>Count</x:v>
      </x:c>
    </x:row>
    <x:row r="27">
      <x:c r="A27" s="13" t="str">
        <x:v>Queue size</x:v>
      </x:c>
      <x:c r="B27" s="12" t="n">
        <x:v>25</x:v>
      </x:c>
    </x:row>
    <x:row r="28">
      <x:c r="A28" s="30" t="str">
        <x:v>Completed</x:v>
      </x:c>
      <x:c r="B28" s="31" t="n">
        <x:f>COUNTIF('Review Queue'!$D$6:$D$30,"Relevant")+COUNTIF('Review Queue'!$D$6:$D$30,"Not relevant")+COUNTIF('Review Queue'!$D$6:$D$30,"Unsure")+COUNTIF('Review Queue'!$D$6:$D$30,"Accept suggestion")</x:f>
        <x:v>0</x:v>
      </x:c>
    </x:row>
    <x:row r="29">
      <x:c r="A29" s="11" t="str">
        <x:v>Remaining</x:v>
      </x:c>
      <x:c r="B29" s="10" t="n">
        <x:f>B27-B28</x:f>
        <x:v>25</x:v>
      </x:c>
    </x:row>
    <x:row r="35">
      <x:c r="A35" s="33" t="str">
        <x:v>Important boundary</x:v>
      </x:c>
      <x:c r="B35" s="33"/>
      <x:c r="C35" s="33"/>
      <x:c r="D35" s="33"/>
      <x:c r="E35" s="33"/>
      <x:c r="F35" s="33"/>
      <x:c r="G35" s="33"/>
      <x:c r="H35" s="33"/>
    </x:row>
    <x:row r="36">
      <x:c r="A36" s="53" t="str">
        <x:v>These labels are an AI-assisted draft, not independent human ground truth. Precision and recall remain preliminary until the flagged queue is reviewed. Recall is estimated only inside the retrieved TED candidate set.</x:v>
      </x:c>
      <x:c r="B36" s="54"/>
      <x:c r="C36" s="54"/>
      <x:c r="D36" s="54"/>
      <x:c r="E36" s="54"/>
      <x:c r="F36" s="54"/>
      <x:c r="G36" s="54"/>
      <x:c r="H36" s="55"/>
    </x:row>
    <x:row r="37">
      <x:c r="A37" s="56"/>
      <x:c r="B37" s="57"/>
      <x:c r="C37" s="57"/>
      <x:c r="D37" s="57"/>
      <x:c r="E37" s="57"/>
      <x:c r="F37" s="57"/>
      <x:c r="G37" s="57"/>
      <x:c r="H37" s="58"/>
    </x:row>
    <x:row r="38">
      <x:c r="A38" s="59"/>
      <x:c r="B38" s="60"/>
      <x:c r="C38" s="60"/>
      <x:c r="D38" s="60"/>
      <x:c r="E38" s="60"/>
      <x:c r="F38" s="60"/>
      <x:c r="G38" s="60"/>
      <x:c r="H38" s="61"/>
    </x:row>
  </x:sheetData>
  <x:mergeCells>
    <x:mergeCell ref="A1:H2"/>
    <x:mergeCell ref="A3:H3"/>
    <x:mergeCell ref="A5:H5"/>
    <x:mergeCell ref="A10:H10"/>
    <x:mergeCell ref="B11:H11"/>
    <x:mergeCell ref="B12:H12"/>
    <x:mergeCell ref="B13:H13"/>
    <x:mergeCell ref="B14:H14"/>
    <x:mergeCell ref="B15:H15"/>
    <x:mergeCell ref="B16:H16"/>
    <x:mergeCell ref="A35:H35"/>
    <x:mergeCell ref="A36:H38"/>
  </x:mergeCells>
  <x:pageMargins left="0.7" right="0.7" top="0.75" bottom="0.75" header="0.3" footer="0.3"/>
  <x:drawing xmlns:r="http://schemas.openxmlformats.org/officeDocument/2006/relationships" r:id="R7282c58842fa45f7"/>
</x:worksheet>
</file>

<file path=xl/worksheets/sheet2.xml><?xml version="1.0" encoding="utf-8"?>
<x:worksheet xmlns:x="http://schemas.openxmlformats.org/spreadsheetml/2006/main">
  <x:sheetViews>
    <x:sheetView showGridLines="0" workbookViewId="0"/>
  </x:sheetViews>
  <x:sheetFormatPr defaultRowHeight="15"/>
  <x:cols>
    <x:col min="1" max="1" width="11" hidden="0" customWidth="1"/>
    <x:col min="2" max="2" width="18" hidden="0" customWidth="1"/>
    <x:col min="3" max="3" width="10" hidden="0" customWidth="1"/>
    <x:col min="4" max="4" width="16" hidden="0" customWidth="1"/>
    <x:col min="5" max="5" width="13" hidden="0" customWidth="1"/>
    <x:col min="6" max="6" width="40" hidden="0" customWidth="1"/>
    <x:col min="7" max="7" width="15" hidden="0" customWidth="1"/>
    <x:col min="8" max="8" width="28" hidden="0" customWidth="1"/>
    <x:col min="9" max="9" width="23" hidden="0" customWidth="1"/>
    <x:col min="10" max="10" width="48" hidden="0" customWidth="1"/>
    <x:col min="11" max="11" width="24" hidden="0" customWidth="1"/>
    <x:col min="12" max="12" width="62" hidden="0" customWidth="1"/>
    <x:col min="13" max="13" width="46" hidden="0" customWidth="1"/>
    <x:col min="14" max="14" width="18" hidden="0" customWidth="1"/>
    <x:col min="15" max="15" width="15" hidden="0" customWidth="1"/>
    <x:col min="16" max="16" width="21" hidden="0" customWidth="1"/>
  </x:cols>
  <x:sheetData>
    <x:row r="1" ht="32" customHeight="1">
      <x:c r="A1" s="64" t="str">
        <x:v>sample_id</x:v>
      </x:c>
      <x:c r="B1" s="64" t="str">
        <x:v>notice_id</x:v>
      </x:c>
      <x:c r="C1" s="64" t="str">
        <x:v>country</x:v>
      </x:c>
      <x:c r="D1" s="64" t="str">
        <x:v>human_label</x:v>
      </x:c>
      <x:c r="E1" s="64" t="str">
        <x:v>confidence</x:v>
      </x:c>
      <x:c r="F1" s="64" t="str">
        <x:v>decision_reason</x:v>
      </x:c>
      <x:c r="G1" s="64" t="str">
        <x:v>publication_date</x:v>
      </x:c>
      <x:c r="H1" s="64" t="str">
        <x:v>buyer</x:v>
      </x:c>
      <x:c r="I1" s="64" t="str">
        <x:v>sector</x:v>
      </x:c>
      <x:c r="J1" s="64" t="str">
        <x:v>title</x:v>
      </x:c>
      <x:c r="K1" s="64" t="str">
        <x:v>cpv_codes</x:v>
      </x:c>
      <x:c r="L1" s="64" t="str">
        <x:v>description_excerpt</x:v>
      </x:c>
      <x:c r="M1" s="64" t="str">
        <x:v>ted_url</x:v>
      </x:c>
      <x:c r="N1" s="64" t="str">
        <x:v>reviewer</x:v>
      </x:c>
      <x:c r="O1" s="64" t="str">
        <x:v>reviewed_date</x:v>
      </x:c>
      <x:c r="P1" s="64" t="str">
        <x:v>review_status</x:v>
      </x:c>
    </x:row>
    <x:row r="2" ht="84" customHeight="1">
      <x:c r="A2" s="66" t="str">
        <x:v>R1-001</x:v>
      </x:c>
      <x:c r="B2" s="66" t="str">
        <x:v>753126-2024</x:v>
      </x:c>
      <x:c r="C2" s="66" t="str">
        <x:v>FIN</x:v>
      </x:c>
      <x:c r="D2" s="68" t="str">
        <x:v>Not relevant</x:v>
      </x:c>
      <x:c r="E2" s="68" t="str">
        <x:v>High</x:v>
      </x:c>
      <x:c r="F2" s="69" t="str">
        <x:v>The scope is WAN, internet, firewall and local-network connectivity.</x:v>
      </x:c>
      <x:c r="G2" s="67" t="str">
        <x:v>2024-12-10</x:v>
      </x:c>
      <x:c r="H2" s="67" t="str">
        <x:v>Päijät-Hämeen hyvinvointialue</x:v>
      </x:c>
      <x:c r="I2" s="67" t="str">
        <x:v>IT services</x:v>
      </x:c>
      <x:c r="J2" s="67" t="str">
        <x:v>Finland – Wide area network services – Tietoliikennepalvelut Päijät-Hämeen hyvinvointialueelle</x:v>
      </x:c>
      <x:c r="K2" s="67" t="str">
        <x:v>72720000, 64210000, 72590000, 72710000</x:v>
      </x:c>
      <x:c r="L2" s="67" t="str">
        <x:v>Hankintayksikkö pyytää tarjousta seuraavasta palvelukokonaisuudesta: · Suljettu tietoliikenneverkko, internet-yhteys, DDoS-esto, lähiverkon palvelut ja näihin liittyviä optioita. Toimittajan tulee tarjota kokonaisuutta. Osatarjouksia ei hyväksytä. Vaihtoehtoisia tarjouksia ei hyväksytä. Kyseisen kokonaisuuden tarkemmat tiedot ja tarjousvaatimukset </x:v>
      </x:c>
      <x:c r="M2" s="67" t="str">
        <x:v>https://ted.europa.eu/en/notice/-/detail/753126-2024</x:v>
      </x:c>
      <x:c r="N2" s="68" t="str">
        <x:v>AI-assisted draft</x:v>
      </x:c>
      <x:c r="O2" s="70" t="str"/>
      <x:c r="P2" s="66" t="str">
        <x:v>Draft complete</x:v>
      </x:c>
    </x:row>
    <x:row r="3" ht="84" customHeight="1">
      <x:c r="A3" s="66" t="str">
        <x:v>R1-002</x:v>
      </x:c>
      <x:c r="B3" s="66" t="str">
        <x:v>573379-2026</x:v>
      </x:c>
      <x:c r="C3" s="66" t="str">
        <x:v>BEL</x:v>
      </x:c>
      <x:c r="D3" s="68" t="str">
        <x:v>Relevant</x:v>
      </x:c>
      <x:c r="E3" s="68" t="str">
        <x:v>High</x:v>
      </x:c>
      <x:c r="F3" s="69" t="str">
        <x:v>The procurement centers on an analytical road-safety forecasting model.</x:v>
      </x:c>
      <x:c r="G3" s="67" t="str">
        <x:v>2026-08-19</x:v>
      </x:c>
      <x:c r="H3" s="67" t="str">
        <x:v>Vlaamse Overheid</x:v>
      </x:c>
      <x:c r="I3" s="67" t="str">
        <x:v>IT services</x:v>
      </x:c>
      <x:c r="J3" s="67" t="str">
        <x:v>Belgium – Analytical, scientific, mathematical or forecasting software development services – Model integrale aanpak verkeersveiligheid</x:v>
      </x:c>
      <x:c r="K3" s="67" t="str">
        <x:v>72212460, 72267100, 72322000, 75130000, 72330000, 72262000, 72210000, 72263000</x:v>
      </x:c>
      <x:c r="L3" s="67" t="str">
        <x:v>Het voorwerp van de opdracht is de aankoop, verdere ontwikkeling en onderhoud van een weginfrastructuurmodel ter inschatting van de verkeers(on)veiligheid op het Vlaamse wegennet. Het voorwerp van de opdracht is de aankoop, verdere ontwikkeling en onderhoud van een weginfrastructuurmodel ter inschatting van de verkeers(on)veiligheid op het Vlaamse </x:v>
      </x:c>
      <x:c r="M3" s="67" t="str">
        <x:v>https://ted.europa.eu/en/notice/-/detail/573379-2026</x:v>
      </x:c>
      <x:c r="N3" s="68" t="str">
        <x:v>AI-assisted draft</x:v>
      </x:c>
      <x:c r="O3" s="70" t="str"/>
      <x:c r="P3" s="66" t="str">
        <x:v>Draft complete</x:v>
      </x:c>
    </x:row>
    <x:row r="4" ht="84" customHeight="1">
      <x:c r="A4" s="66" t="str">
        <x:v>R1-003</x:v>
      </x:c>
      <x:c r="B4" s="66" t="str">
        <x:v>233015-2025</x:v>
      </x:c>
      <x:c r="C4" s="66" t="str">
        <x:v>FIN</x:v>
      </x:c>
      <x:c r="D4" s="68" t="str">
        <x:v>Not relevant</x:v>
      </x:c>
      <x:c r="E4" s="68" t="str">
        <x:v>Medium</x:v>
      </x:c>
      <x:c r="F4" s="69" t="str">
        <x:v>The scope is generic cloud hosting for an existing treasury application.</x:v>
      </x:c>
      <x:c r="G4" s="67" t="str">
        <x:v>2025-04-10</x:v>
      </x:c>
      <x:c r="H4" s="67" t="str">
        <x:v>Keva</x:v>
      </x:c>
      <x:c r="I4" s="67" t="str">
        <x:v>IT services</x:v>
      </x:c>
      <x:c r="J4" s="67" t="str">
        <x:v>Finland – IT services: consulting, software development, Internet and support – WSS Cloud Hosting</x:v>
      </x:c>
      <x:c r="K4" s="67" t="str">
        <x:v>72000000, 72211000, 72300000, 72600000</x:v>
      </x:c>
      <x:c r="L4" s="67" t="str">
        <x:v>Keva request tenders for cloud hosting to existing WallStreet Suite -software. This will include one production environment, and 3 test environments. Keva will not offer licences to Windows or SQL-servers. Keva uses WallStreet Suite as the main treasury system. It covers most invest-ment types in Keva’s portfolio such as FX, equity, high yield, EMD</x:v>
      </x:c>
      <x:c r="M4" s="67" t="str">
        <x:v>https://ted.europa.eu/en/notice/-/detail/233015-2025</x:v>
      </x:c>
      <x:c r="N4" s="68" t="str">
        <x:v>AI-assisted draft</x:v>
      </x:c>
      <x:c r="O4" s="70" t="str"/>
      <x:c r="P4" s="66" t="str">
        <x:v>Needs human review</x:v>
      </x:c>
    </x:row>
    <x:row r="5" ht="84" customHeight="1">
      <x:c r="A5" s="66" t="str">
        <x:v>R1-004</x:v>
      </x:c>
      <x:c r="B5" s="66" t="str">
        <x:v>216129-2026</x:v>
      </x:c>
      <x:c r="C5" s="66" t="str">
        <x:v>FIN</x:v>
      </x:c>
      <x:c r="D5" s="68" t="str">
        <x:v>Not relevant</x:v>
      </x:c>
      <x:c r="E5" s="68" t="str">
        <x:v>High</x:v>
      </x:c>
      <x:c r="F5" s="69" t="str">
        <x:v>The scope is urban-planning and engineering consultancy, not AI or data work.</x:v>
      </x:c>
      <x:c r="G5" s="67" t="str">
        <x:v>2026-03-30</x:v>
      </x:c>
      <x:c r="H5" s="67" t="str">
        <x:v>Tuusulan kunta</x:v>
      </x:c>
      <x:c r="I5" s="67" t="str">
        <x:v>IT services</x:v>
      </x:c>
      <x:c r="J5" s="67" t="str">
        <x:v>Finland – Architectural, construction, engineering and inspection services – Kaavasuunnittelun konsulttipalvelut</x:v>
      </x:c>
      <x:c r="K5" s="67" t="str">
        <x:v>71000000, 71311300, 72310000, 71400000, 71410000, 71311000, 79300000, 71500000</x:v>
      </x:c>
      <x:c r="L5" s="67" t="str">
        <x:v>Tuusulan kunta pyytää tarjousta erilaisista kaavasuunnitteluun liittyvistä konsulttipalveluista. Tällä hankinnalla tullaan perustamaan puitesopimus, johon tullaan valitsemaan enintään kolme (3) puitesopimustoimittajaa kuhunkin kuvattuun osa-alueeseen. Tarjouksen voi jättää koskien yhtä tai useampaa osa-aluetta. Sopimuskausi on kaksi (2) vuotta, jon</x:v>
      </x:c>
      <x:c r="M5" s="67" t="str">
        <x:v>https://ted.europa.eu/en/notice/-/detail/216129-2026</x:v>
      </x:c>
      <x:c r="N5" s="68" t="str">
        <x:v>AI-assisted draft</x:v>
      </x:c>
      <x:c r="O5" s="70" t="str"/>
      <x:c r="P5" s="66" t="str">
        <x:v>Draft complete</x:v>
      </x:c>
    </x:row>
    <x:row r="6" ht="84" customHeight="1">
      <x:c r="A6" s="66" t="str">
        <x:v>R1-005</x:v>
      </x:c>
      <x:c r="B6" s="66" t="str">
        <x:v>734224-2023</x:v>
      </x:c>
      <x:c r="C6" s="66" t="str">
        <x:v>BEL</x:v>
      </x:c>
      <x:c r="D6" s="68" t="str">
        <x:v>Not relevant</x:v>
      </x:c>
      <x:c r="E6" s="68" t="str">
        <x:v>High</x:v>
      </x:c>
      <x:c r="F6" s="69" t="str">
        <x:v>The notice only concerns replacement of generic server infrastructure.</x:v>
      </x:c>
      <x:c r="G6" s="67" t="str">
        <x:v>2023-12-04</x:v>
      </x:c>
      <x:c r="H6" s="67" t="str">
        <x:v>Gemeentebestuur Knokke-Heist</x:v>
      </x:c>
      <x:c r="I6" s="67" t="str">
        <x:v>Software packages and information systems</x:v>
      </x:c>
      <x:c r="J6" s="67" t="str">
        <x:v>Belgium – Servers – Vervanging serverinfrastructuur</x:v>
      </x:c>
      <x:c r="K6" s="67" t="str">
        <x:v>48820000</x:v>
      </x:c>
      <x:c r="L6" s="67" t="str">
        <x:v>Vervanging serverinfrastructuur Vervanging serverinfrastructuur</x:v>
      </x:c>
      <x:c r="M6" s="67" t="str">
        <x:v>https://ted.europa.eu/en/notice/-/detail/734224-2023</x:v>
      </x:c>
      <x:c r="N6" s="68" t="str">
        <x:v>AI-assisted draft</x:v>
      </x:c>
      <x:c r="O6" s="70" t="str"/>
      <x:c r="P6" s="66" t="str">
        <x:v>Draft complete</x:v>
      </x:c>
    </x:row>
    <x:row r="7" ht="84" customHeight="1">
      <x:c r="A7" s="66" t="str">
        <x:v>R1-006</x:v>
      </x:c>
      <x:c r="B7" s="66" t="str">
        <x:v>395705-2026</x:v>
      </x:c>
      <x:c r="C7" s="66" t="str">
        <x:v>BEL</x:v>
      </x:c>
      <x:c r="D7" s="68" t="str">
        <x:v>Not relevant</x:v>
      </x:c>
      <x:c r="E7" s="68" t="str">
        <x:v>High</x:v>
      </x:c>
      <x:c r="F7" s="69" t="str">
        <x:v>The purchase is KVM switching and console hardware.</x:v>
      </x:c>
      <x:c r="G7" s="67" t="str">
        <x:v>2026-06-10</x:v>
      </x:c>
      <x:c r="H7" s="67" t="str">
        <x:v>FOD Binnenlandse Zaken</x:v>
      </x:c>
      <x:c r="I7" s="67" t="str">
        <x:v>Software packages and information systems</x:v>
      </x:c>
      <x:c r="J7" s="67" t="str">
        <x:v>Belgium – Computer-related equipment – Bestek met betrekking tot de levering van KVM-over-IP-Matrix Sets en KVM-switch met console</x:v>
      </x:c>
      <x:c r="K7" s="67" t="str">
        <x:v>30230000, 48620000</x:v>
      </x:c>
      <x:c r="L7" s="67" t="str">
        <x:v>Le présent marché porte sur la livraison de Sets KVM-over-IP-Matrix et KVM-switch avec console, y compris le logiciel de gestion, les commutateurs nécessaires, le matériel pour le montage en rack et les SFP RJ45. De onderhavige opdracht betreft de levering van KVM-over-IP-Matrix Sets en KVM-switch met console, inclusief managementsoftware, de nodig</x:v>
      </x:c>
      <x:c r="M7" s="67" t="str">
        <x:v>https://ted.europa.eu/en/notice/-/detail/395705-2026</x:v>
      </x:c>
      <x:c r="N7" s="68" t="str">
        <x:v>AI-assisted draft</x:v>
      </x:c>
      <x:c r="O7" s="70" t="str"/>
      <x:c r="P7" s="66" t="str">
        <x:v>Draft complete</x:v>
      </x:c>
    </x:row>
    <x:row r="8" ht="84" customHeight="1">
      <x:c r="A8" s="66" t="str">
        <x:v>R1-007</x:v>
      </x:c>
      <x:c r="B8" s="66" t="str">
        <x:v>495926-2026</x:v>
      </x:c>
      <x:c r="C8" s="66" t="str">
        <x:v>ITA</x:v>
      </x:c>
      <x:c r="D8" s="68" t="str">
        <x:v>Relevant</x:v>
      </x:c>
      <x:c r="E8" s="68" t="str">
        <x:v>High</x:v>
      </x:c>
      <x:c r="F8" s="69" t="str">
        <x:v>The hardware and software are specifically for a medical data lake.</x:v>
      </x:c>
      <x:c r="G8" s="67" t="str">
        <x:v>2026-07-17</x:v>
      </x:c>
      <x:c r="H8" s="67" t="str">
        <x:v>UNIVERSITA DEGLI STUDI DI NAPOLI FEDERICO II</x:v>
      </x:c>
      <x:c r="I8" s="67" t="str">
        <x:v>Computing equipment and supplies</x:v>
      </x:c>
      <x:c r="J8" s="67" t="str">
        <x:v>Italy – Data-processing machines (hardware) – CIRMIS DATA LAKE</x:v>
      </x:c>
      <x:c r="K8" s="67" t="str">
        <x:v>30210000</x:v>
      </x:c>
      <x:c r="L8" s="67" t="str">
        <x:v>PROCEDURA APERTA CON APPLICAZIONE DEL CRITERIO DELL’OFFERTA ECONOMICAMENTE PIÙ VANTAGGIOSA INDIVIDUATA SULLA BASE DEL MIGLIOR RAPPORTO QUALITÀ PREZZO, AI SENSI DEGLI ARTT. 71 e 108 COMMA 1 DEL D.LGS. N. 36/2023 S.M.I. AVENTE AD OGGETTO LA FORNITURA HARDWARE CON SOFTWARE INTEGRATO PER L'IMPLEMENTAZIONE DI UN DATA-LAKE PER LA RACCOLTA DI DATI DI TIPO</x:v>
      </x:c>
      <x:c r="M8" s="67" t="str">
        <x:v>https://ted.europa.eu/en/notice/-/detail/495926-2026</x:v>
      </x:c>
      <x:c r="N8" s="68" t="str">
        <x:v>AI-assisted draft</x:v>
      </x:c>
      <x:c r="O8" s="70" t="str"/>
      <x:c r="P8" s="66" t="str">
        <x:v>Draft complete</x:v>
      </x:c>
    </x:row>
    <x:row r="9" ht="84" customHeight="1">
      <x:c r="A9" s="66" t="str">
        <x:v>R1-008</x:v>
      </x:c>
      <x:c r="B9" s="66" t="str">
        <x:v>271897-2024</x:v>
      </x:c>
      <x:c r="C9" s="66" t="str">
        <x:v>BEL</x:v>
      </x:c>
      <x:c r="D9" s="68" t="str">
        <x:v>Relevant</x:v>
      </x:c>
      <x:c r="E9" s="68" t="str">
        <x:v>High</x:v>
      </x:c>
      <x:c r="F9" s="69" t="str">
        <x:v>Data-visualization software and reporting are the core procurement scope.</x:v>
      </x:c>
      <x:c r="G9" s="67" t="str">
        <x:v>2024-05-08</x:v>
      </x:c>
      <x:c r="H9" s="67" t="str">
        <x:v>VITO</x:v>
      </x:c>
      <x:c r="I9" s="67" t="str">
        <x:v>Software packages and information systems</x:v>
      </x:c>
      <x:c r="J9" s="67" t="str">
        <x:v>Belgium – Software package and information systems – Aankoop licenties en software data-visualisatie, inclusief ondersteuning</x:v>
      </x:c>
      <x:c r="K9" s="67" t="str">
        <x:v>48000000, 48611000</x:v>
      </x:c>
      <x:c r="L9" s="67" t="str">
        <x:v>De datavisualisatie software heeft als 2 doelstellingen: - de impactvolle business beslissingen sneller te kunnen nemen op basis van de rapporten die gecreëerd worden. - onderzoeks- en andere projectgerelateerde data via rapporten ter beschikking stellen voor interne of externe gebruikers Aankoop licenties en software data-visualisatie, inclusief o</x:v>
      </x:c>
      <x:c r="M9" s="67" t="str">
        <x:v>https://ted.europa.eu/en/notice/-/detail/271897-2024</x:v>
      </x:c>
      <x:c r="N9" s="68" t="str">
        <x:v>AI-assisted draft</x:v>
      </x:c>
      <x:c r="O9" s="70" t="str"/>
      <x:c r="P9" s="66" t="str">
        <x:v>Draft complete</x:v>
      </x:c>
    </x:row>
    <x:row r="10" ht="84" customHeight="1">
      <x:c r="A10" s="66" t="str">
        <x:v>R1-009</x:v>
      </x:c>
      <x:c r="B10" s="66" t="str">
        <x:v>532033-2026</x:v>
      </x:c>
      <x:c r="C10" s="66" t="str">
        <x:v>ITA</x:v>
      </x:c>
      <x:c r="D10" s="68" t="str">
        <x:v>Not relevant</x:v>
      </x:c>
      <x:c r="E10" s="68" t="str">
        <x:v>High</x:v>
      </x:c>
      <x:c r="F10" s="69" t="str">
        <x:v>The scope is a generic electronic-procurement SaaS platform.</x:v>
      </x:c>
      <x:c r="G10" s="67" t="str">
        <x:v>2026-07-31</x:v>
      </x:c>
      <x:c r="H10" s="67" t="str">
        <x:v>ANAS S.P.A.</x:v>
      </x:c>
      <x:c r="I10" s="67" t="str">
        <x:v>IT services</x:v>
      </x:c>
      <x:c r="J10" s="67" t="str">
        <x:v>Italy – Computer-related management services – DGACQ 37-26 Servizi per l’erogazione in modalità SaaS (Software as a Service) di una piattaforma tecnologica per l’esecuzione delle gare telematiche</x:v>
      </x:c>
      <x:c r="K10" s="67" t="str">
        <x:v>72510000</x:v>
      </x:c>
      <x:c r="L10" s="67" t="str">
        <x:v>DGACQ 37-26 Servizi per l’erogazione in modalità SaaS (Software as a Service) di una piattaforma tecnologica per l’esecuzione delle gare telematiche DGACQ 37-26 Servizi per l’erogazione in modalità SaaS (Software as a Service) di una piattaforma tecnologica per l’esecuzione delle gare telematiche</x:v>
      </x:c>
      <x:c r="M10" s="67" t="str">
        <x:v>https://ted.europa.eu/en/notice/-/detail/532033-2026</x:v>
      </x:c>
      <x:c r="N10" s="68" t="str">
        <x:v>AI-assisted draft</x:v>
      </x:c>
      <x:c r="O10" s="70" t="str"/>
      <x:c r="P10" s="66" t="str">
        <x:v>Draft complete</x:v>
      </x:c>
    </x:row>
    <x:row r="11" ht="84" customHeight="1">
      <x:c r="A11" s="66" t="str">
        <x:v>R1-010</x:v>
      </x:c>
      <x:c r="B11" s="66" t="str">
        <x:v>416091-2025</x:v>
      </x:c>
      <x:c r="C11" s="66" t="str">
        <x:v>FIN</x:v>
      </x:c>
      <x:c r="D11" s="68" t="str">
        <x:v>Not relevant</x:v>
      </x:c>
      <x:c r="E11" s="68" t="str">
        <x:v>High</x:v>
      </x:c>
      <x:c r="F11" s="69" t="str">
        <x:v>The scope is network, internet, DDoS and firewall services.</x:v>
      </x:c>
      <x:c r="G11" s="67" t="str">
        <x:v>2025-06-27</x:v>
      </x:c>
      <x:c r="H11" s="67" t="str">
        <x:v>HaminaKotka Satama Oy</x:v>
      </x:c>
      <x:c r="I11" s="67" t="str">
        <x:v>Software packages and information systems</x:v>
      </x:c>
      <x:c r="J11" s="67" t="str">
        <x:v>Finland – Wide area network services – Tietoliikennepalveluiden hankinta</x:v>
      </x:c>
      <x:c r="K11" s="67" t="str">
        <x:v>72720000, 64210000, 72590000, 72000000, 48730000, 72710000</x:v>
      </x:c>
      <x:c r="L11" s="67" t="str">
        <x:v>Hankintayksikkö pyytää tarjousta seuraavasta palvelukokonaisuudesta: - Suljettu tietoliikenneverkko, internet-yhteys, DDoS-esto, palomuuripalvelu. - Optiona tietoliikenteen asiantuntija- ja asennuspalvelut sekä lähiverkon palvelut. Toimittajan tulee tarjota kokonaisuutta. Osatarjouksia ei hyväksytä. Vaihtoehtoisia tarjouksia ei hyväksytä. Kyseisen </x:v>
      </x:c>
      <x:c r="M11" s="67" t="str">
        <x:v>https://ted.europa.eu/en/notice/-/detail/416091-2025</x:v>
      </x:c>
      <x:c r="N11" s="68" t="str">
        <x:v>AI-assisted draft</x:v>
      </x:c>
      <x:c r="O11" s="70" t="str"/>
      <x:c r="P11" s="66" t="str">
        <x:v>Draft complete</x:v>
      </x:c>
    </x:row>
    <x:row r="12" ht="84" customHeight="1">
      <x:c r="A12" s="66" t="str">
        <x:v>R1-011</x:v>
      </x:c>
      <x:c r="B12" s="66" t="str">
        <x:v>562866-2026</x:v>
      </x:c>
      <x:c r="C12" s="66" t="str">
        <x:v>BEL</x:v>
      </x:c>
      <x:c r="D12" s="68" t="str">
        <x:v>Relevant</x:v>
      </x:c>
      <x:c r="E12" s="68" t="str">
        <x:v>Medium</x:v>
      </x:c>
      <x:c r="F12" s="69" t="str">
        <x:v>The data loggers form a dedicated water-level data-collection system.</x:v>
      </x:c>
      <x:c r="G12" s="67" t="str">
        <x:v>2026-08-13</x:v>
      </x:c>
      <x:c r="H12" s="67" t="str">
        <x:v>Eigen Vermogen Xperta</x:v>
      </x:c>
      <x:c r="I12" s="67" t="str">
        <x:v>Software packages and information systems</x:v>
      </x:c>
      <x:c r="J12" s="67" t="str">
        <x:v>Belgium – Instruments for measuring flow, level and pressure of liquids and gases – Raamovereenkomst voor het aankopen van waterpeildataloggers en toebehoren</x:v>
      </x:c>
      <x:c r="K12" s="67" t="str">
        <x:v>38420000, 48000000, 32441200, 31712112, 48627000, 38300000</x:v>
      </x:c>
      <x:c r="L12" s="67" t="str">
        <x:v>Raamovereenkomst voor het aankopen van waterpeildataloggers en toebehoren zie bestektekst</x:v>
      </x:c>
      <x:c r="M12" s="67" t="str">
        <x:v>https://ted.europa.eu/en/notice/-/detail/562866-2026</x:v>
      </x:c>
      <x:c r="N12" s="68" t="str">
        <x:v>AI-assisted draft</x:v>
      </x:c>
      <x:c r="O12" s="70" t="str"/>
      <x:c r="P12" s="66" t="str">
        <x:v>Needs human review</x:v>
      </x:c>
    </x:row>
    <x:row r="13" ht="84" customHeight="1">
      <x:c r="A13" s="66" t="str">
        <x:v>R1-012</x:v>
      </x:c>
      <x:c r="B13" s="66" t="str">
        <x:v>430816-2026</x:v>
      </x:c>
      <x:c r="C13" s="66" t="str">
        <x:v>FIN</x:v>
      </x:c>
      <x:c r="D13" s="68" t="str">
        <x:v>Not relevant</x:v>
      </x:c>
      <x:c r="E13" s="68" t="str">
        <x:v>High</x:v>
      </x:c>
      <x:c r="F13" s="69" t="str">
        <x:v>The notice purchases access to digital news and trade publications.</x:v>
      </x:c>
      <x:c r="G13" s="67" t="str">
        <x:v>2026-06-24</x:v>
      </x:c>
      <x:c r="H13" s="67" t="str">
        <x:v>Valtioneuvoston kanslia</x:v>
      </x:c>
      <x:c r="I13" s="67" t="str">
        <x:v>IT services</x:v>
      </x:c>
      <x:c r="J13" s="67" t="str">
        <x:v>Finland – Database services – Iltalehti PLUS, Kauppalehti Digi- ja Ammattilaismediat palvelun hankinta</x:v>
      </x:c>
      <x:c r="K13" s="67" t="str">
        <x:v>72320000</x:v>
      </x:c>
      <x:c r="L13" s="67" t="str">
        <x:v>Hankinnan kohteena Iltalehti PLUS-, Kauppalehti Digi- ja Ammattilaismediat verkkopalvelun hankinta . Ammattilaismedioihin kuuluvat Talouselämä, Arvopaperi, Tekniikka&amp;Talous sekä Tivi. Käyttöoikeus kattaa avoimet ja tilaajille tarkoitetut artikkelit, näköislehden ja näköislehtiarkiston. Iltalehti PLUS käyttöoikeus sisältää myös mikrobitin ja Uuden s</x:v>
      </x:c>
      <x:c r="M13" s="67" t="str">
        <x:v>https://ted.europa.eu/en/notice/-/detail/430816-2026</x:v>
      </x:c>
      <x:c r="N13" s="68" t="str">
        <x:v>AI-assisted draft</x:v>
      </x:c>
      <x:c r="O13" s="70" t="str"/>
      <x:c r="P13" s="66" t="str">
        <x:v>Draft complete</x:v>
      </x:c>
    </x:row>
    <x:row r="14" ht="84" customHeight="1">
      <x:c r="A14" s="66" t="str">
        <x:v>R1-013</x:v>
      </x:c>
      <x:c r="B14" s="66" t="str">
        <x:v>601207-2026</x:v>
      </x:c>
      <x:c r="C14" s="66" t="str">
        <x:v>ITA</x:v>
      </x:c>
      <x:c r="D14" s="68" t="str">
        <x:v>Relevant</x:v>
      </x:c>
      <x:c r="E14" s="68" t="str">
        <x:v>High</x:v>
      </x:c>
      <x:c r="F14" s="69" t="str">
        <x:v>Film digitization is a material data-conversion service.</x:v>
      </x:c>
      <x:c r="G14" s="67" t="str">
        <x:v>2026-09-01</x:v>
      </x:c>
      <x:c r="H14" s="67" t="str">
        <x:v>RAI - Radiotelevisione Italiana S.p.A. - A/ESE/EDI</x:v>
      </x:c>
      <x:c r="I14" s="67" t="str">
        <x:v>IT services</x:v>
      </x:c>
      <x:c r="J14" s="67" t="str">
        <x:v>Italy – Data conversion services – Accordo quadro con un solo operatore per l'esecuzione del Servizio di Digitalizzazione delle pellicole Rai (fase 2)</x:v>
      </x:c>
      <x:c r="K14" s="67" t="str">
        <x:v>72311100</x:v>
      </x:c>
      <x:c r="L14" s="67" t="str">
        <x:v>Accordo quadro con un solo operatore per l'esecuzione del Servizio di Digitalizzazione delle pellicole Rai (fase 2) Accordo quadro con un solo operatore per l'esecuzione del Servizio di Digitalizzazione delle pellicole Rai (fase 2)</x:v>
      </x:c>
      <x:c r="M14" s="67" t="str">
        <x:v>https://ted.europa.eu/en/notice/-/detail/601207-2026</x:v>
      </x:c>
      <x:c r="N14" s="68" t="str">
        <x:v>AI-assisted draft</x:v>
      </x:c>
      <x:c r="O14" s="70" t="str"/>
      <x:c r="P14" s="66" t="str">
        <x:v>Draft complete</x:v>
      </x:c>
    </x:row>
    <x:row r="15" ht="84" customHeight="1">
      <x:c r="A15" s="66" t="str">
        <x:v>R1-014</x:v>
      </x:c>
      <x:c r="B15" s="66" t="str">
        <x:v>560518-2026</x:v>
      </x:c>
      <x:c r="C15" s="66" t="str">
        <x:v>ITA</x:v>
      </x:c>
      <x:c r="D15" s="68" t="str">
        <x:v>Relevant</x:v>
      </x:c>
      <x:c r="E15" s="68" t="str">
        <x:v>High</x:v>
      </x:c>
      <x:c r="F15" s="69" t="str">
        <x:v>Storage, backup and disaster-recovery infrastructure are the core scope.</x:v>
      </x:c>
      <x:c r="G15" s="67" t="str">
        <x:v>2026-08-13</x:v>
      </x:c>
      <x:c r="H15" s="67" t="str">
        <x:v>FONDAZIONE CNAO</x:v>
      </x:c>
      <x:c r="I15" s="67" t="str">
        <x:v>Computing equipment and supplies</x:v>
      </x:c>
      <x:c r="J15" s="67" t="str">
        <x:v>Italy – Data-processing machines (hardware) – Gara Storage</x:v>
      </x:c>
      <x:c r="K15" s="67" t="str">
        <x:v>30210000</x:v>
      </x:c>
      <x:c r="L15" s="67" t="str">
        <x:v>Procedura aperta per l’affidamento della fornitura di apparati di storage finalizzati anche a backup e disaster recovery, con relativi servizi di manutenzione per il Centro nazionale di Adroterapia Oncologica - CNAO Procedura aperta per l’affidamento della fornitura di apparati di storage finalizzati anche a backup e disaster recovery, con relativi</x:v>
      </x:c>
      <x:c r="M15" s="67" t="str">
        <x:v>https://ted.europa.eu/en/notice/-/detail/560518-2026</x:v>
      </x:c>
      <x:c r="N15" s="68" t="str">
        <x:v>AI-assisted draft</x:v>
      </x:c>
      <x:c r="O15" s="70" t="str"/>
      <x:c r="P15" s="66" t="str">
        <x:v>Draft complete</x:v>
      </x:c>
    </x:row>
    <x:row r="16" ht="84" customHeight="1">
      <x:c r="A16" s="66" t="str">
        <x:v>R1-015</x:v>
      </x:c>
      <x:c r="B16" s="66" t="str">
        <x:v>700865-2023</x:v>
      </x:c>
      <x:c r="C16" s="66" t="str">
        <x:v>FIN</x:v>
      </x:c>
      <x:c r="D16" s="68" t="str">
        <x:v>Not relevant</x:v>
      </x:c>
      <x:c r="E16" s="68" t="str">
        <x:v>Medium</x:v>
      </x:c>
      <x:c r="F16" s="69" t="str">
        <x:v>The scope is broad cloud-platform capacity and DevOps governance, not data-specific work.</x:v>
      </x:c>
      <x:c r="G16" s="67" t="str">
        <x:v>2023-11-17</x:v>
      </x:c>
      <x:c r="H16" s="67" t="str">
        <x:v>Espoon kaupunki</x:v>
      </x:c>
      <x:c r="I16" s="67" t="str">
        <x:v>IT services</x:v>
      </x:c>
      <x:c r="J16" s="67" t="str">
        <x:v>Finland – IT services: consulting, software development, Internet and support – Espoon kaupungin pilviosaamiskeskuksen asiantuntija- ja pilvialustapalvelut</x:v>
      </x:c>
      <x:c r="K16" s="67" t="str">
        <x:v>72000000</x:v>
      </x:c>
      <x:c r="L16" s="67" t="str">
        <x:v>Espoon kaupunki (myöhemmin myös Asiakas tai Tilaaja) pyytää tarjouksia pilviosaamiskeskuksen Toimittajan roolista sisältäen pilviosaamiskeskuksen organisoinnin, vetämisen ja täydentävät asiantuntija-palvelut, AWS ja Google Cloud Platform - pilvikapasiteettien jälleenmyynnin sekä Asiakkaan DevOps-työkalujen hallinnoinnin. Pilviosaamiskeskus tulee ta</x:v>
      </x:c>
      <x:c r="M16" s="67" t="str">
        <x:v>https://ted.europa.eu/en/notice/-/detail/700865-2023</x:v>
      </x:c>
      <x:c r="N16" s="68" t="str">
        <x:v>AI-assisted draft</x:v>
      </x:c>
      <x:c r="O16" s="70" t="str"/>
      <x:c r="P16" s="66" t="str">
        <x:v>Needs human review</x:v>
      </x:c>
    </x:row>
    <x:row r="17" ht="84" customHeight="1">
      <x:c r="A17" s="66" t="str">
        <x:v>R1-016</x:v>
      </x:c>
      <x:c r="B17" s="66" t="str">
        <x:v>204467-2021</x:v>
      </x:c>
      <x:c r="C17" s="66" t="str">
        <x:v>ITA</x:v>
      </x:c>
      <x:c r="D17" s="68" t="str">
        <x:v>Not relevant</x:v>
      </x:c>
      <x:c r="E17" s="68" t="str">
        <x:v>High</x:v>
      </x:c>
      <x:c r="F17" s="69" t="str">
        <x:v>The notice concerns water-distribution operations and lists broad incidental CPVs.</x:v>
      </x:c>
      <x:c r="G17" s="67" t="str">
        <x:v>2021-04-23</x:v>
      </x:c>
      <x:c r="H17" s="67" t="str">
        <x:v>Acquedotto Pugliese SpA</x:v>
      </x:c>
      <x:c r="I17" s="67" t="str">
        <x:v>IT services</x:v>
      </x:c>
      <x:c r="J17" s="67" t="str">
        <x:v>Italy-Bari: Water distribution and related services</x:v>
      </x:c>
      <x:c r="K17" s="67" t="str">
        <x:v>45252200, 45500000, 50100000, 50110000, 50117000, 50300000, 50410000, 50411000, 50413200, 50510000, 50530000, 50531000, 50532000, 50532200, 50610000, 50712000, 51112200, 51410000, 55000000, 60000000, 60170000, 60180000, 63000000, 63122000, 64110000, 64112000, 64210000, 65100000, 65500000, 66510000, 66519600, 71000000, 71200000, 71248000, 71300000, 71313000, 71323100, 71323200, 71351000, 71351810, 71351914, 71354300, 71620000, 71630000, 71631430, 71632200, 71700000, 72000000, 73000000, 76600000, 77120000, 77310000, 79132000, 79200000, 79340000, 79417000, 79530000, 79620000, 79630000, 79632000, 79700000, 79820000, 79900000, 79940000, 79952000, 79995100, 85140000, 85141000, 90470000, 90480000, 90491000, 90510000, 90520000, 90523300, 90711100, 90730000, 90900000, 98341120</x:v>
      </x:c>
      <x:c r="L17" s="67" t="str"/>
      <x:c r="M17" s="67" t="str">
        <x:v>https://ted.europa.eu/en/notice/-/detail/204467-2021</x:v>
      </x:c>
      <x:c r="N17" s="68" t="str">
        <x:v>AI-assisted draft</x:v>
      </x:c>
      <x:c r="O17" s="70" t="str"/>
      <x:c r="P17" s="66" t="str">
        <x:v>Draft complete</x:v>
      </x:c>
    </x:row>
    <x:row r="18" ht="84" customHeight="1">
      <x:c r="A18" s="66" t="str">
        <x:v>R1-017</x:v>
      </x:c>
      <x:c r="B18" s="66" t="str">
        <x:v>190455-2026</x:v>
      </x:c>
      <x:c r="C18" s="66" t="str">
        <x:v>ITA</x:v>
      </x:c>
      <x:c r="D18" s="68" t="str">
        <x:v>Not relevant</x:v>
      </x:c>
      <x:c r="E18" s="68" t="str">
        <x:v>High</x:v>
      </x:c>
      <x:c r="F18" s="69" t="str">
        <x:v>The scope is generic server, network, workstation and email support.</x:v>
      </x:c>
      <x:c r="G18" s="67" t="str">
        <x:v>2026-03-19</x:v>
      </x:c>
      <x:c r="H18" s="67" t="str">
        <x:v>COMUNE DI VARESE</x:v>
      </x:c>
      <x:c r="I18" s="67" t="str">
        <x:v>IT services</x:v>
      </x:c>
      <x:c r="J18" s="67" t="str">
        <x:v>Italy – Computer-related services – PROCEDURA APERTA PER L'AGGIUDICAZIONE DEI SERVIZI DI ASSISTENZA, MANUTENZIONE E PROTEZIONE AI SERVER CENTRALI, AGLI APPARATI DI RETE, ALLE POSTAZIONI DI LAVORO INDIVIDUALI E ALL’INFORMATICA PERSONALE DISTRIBUITA, COMPRENSIVO DEL SERVIZIO DI POSTA ELETTRONICA ORDINARIA, PER LA DURATA DI TRENTASEI MESI</x:v>
      </x:c>
      <x:c r="K18" s="67" t="str">
        <x:v>72500000</x:v>
      </x:c>
      <x:c r="L18" s="67" t="str">
        <x:v>PROCEDURA APERTA PER L'AGGIUDICAZIONE DEI SERVIZI DI ASSISTENZA, MANUTENZIONE E PROTEZIONE AI SERVER CENTRALI, AGLI APPARATI DI RETE, ALLE POSTAZIONI DI LAVORO INDIVIDUALI E ALL’INFORMATICA PERSONALE DISTRIBUITA, COMPRENSIVO DEL SERVIZIO DI POSTA ELETTRONICA ORDINARIA, PER LA DURATA DI TRENTASEI MESI PROCEDURA APERTA PER L'AGGIUDICAZIONE DEI SERVIZ</x:v>
      </x:c>
      <x:c r="M18" s="67" t="str">
        <x:v>https://ted.europa.eu/en/notice/-/detail/190455-2026</x:v>
      </x:c>
      <x:c r="N18" s="68" t="str">
        <x:v>AI-assisted draft</x:v>
      </x:c>
      <x:c r="O18" s="70" t="str"/>
      <x:c r="P18" s="66" t="str">
        <x:v>Draft complete</x:v>
      </x:c>
    </x:row>
    <x:row r="19" ht="84" customHeight="1">
      <x:c r="A19" s="66" t="str">
        <x:v>R1-018</x:v>
      </x:c>
      <x:c r="B19" s="66" t="str">
        <x:v>114951-2025</x:v>
      </x:c>
      <x:c r="C19" s="66" t="str">
        <x:v>FIN</x:v>
      </x:c>
      <x:c r="D19" s="68" t="str">
        <x:v>Relevant</x:v>
      </x:c>
      <x:c r="E19" s="68" t="str">
        <x:v>Medium</x:v>
      </x:c>
      <x:c r="F19" s="69" t="str">
        <x:v>The dynamic purchasing system materially includes storage, backup and database infrastructure.</x:v>
      </x:c>
      <x:c r="G19" s="67" t="str">
        <x:v>2025-02-20</x:v>
      </x:c>
      <x:c r="H19" s="67" t="str">
        <x:v>Hansel Oy</x:v>
      </x:c>
      <x:c r="I19" s="67" t="str">
        <x:v>Software packages and information systems</x:v>
      </x:c>
      <x:c r="J19" s="67" t="str">
        <x:v>Finland – Computer equipment and supplies – Hansel Oy:n Konesali-infrastruktuurilaitteet 2021-2025 dynaamisen hankintajärjestelmän voimassaolon jatkaminen 30.9.2026 asti</x:v>
      </x:c>
      <x:c r="K19" s="67" t="str">
        <x:v>30200000, 30230000, 30233000, 30234000, 72100000, 48000000, 32580000, 48200000, 48800000, 48820000, 48810000, 48821000, 48823000, 50300000, 50312000, 48600000, 48210000, 48700000, 51600000</x:v>
      </x:c>
      <x:c r="L19" s="67" t="str">
        <x:v>ILMOITUKSEEN LIITTYVÄT LINKIT Konesali-infrastruktuurilaitteet 2021-2025 dynaamisen hankintajärjestelmän osallistumispyyntö on saatavissa osoitteesta https://www.hankintailmoitukset.fi/fi/public/procedure/14196/enotice/20711/details Tällä ilmoituksella ei perusteta uutta dynaamista hankintajärjestelmää, vaan ilmoituksella ilmoitetaan olemassa oleva</x:v>
      </x:c>
      <x:c r="M19" s="67" t="str">
        <x:v>https://ted.europa.eu/en/notice/-/detail/114951-2025</x:v>
      </x:c>
      <x:c r="N19" s="68" t="str">
        <x:v>AI-assisted draft</x:v>
      </x:c>
      <x:c r="O19" s="70" t="str"/>
      <x:c r="P19" s="66" t="str">
        <x:v>Needs human review</x:v>
      </x:c>
    </x:row>
    <x:row r="20" ht="84" customHeight="1">
      <x:c r="A20" s="66" t="str">
        <x:v>R1-019</x:v>
      </x:c>
      <x:c r="B20" s="66" t="str">
        <x:v>688499-2024</x:v>
      </x:c>
      <x:c r="C20" s="66" t="str">
        <x:v>FIN</x:v>
      </x:c>
      <x:c r="D20" s="68" t="str">
        <x:v>Not relevant</x:v>
      </x:c>
      <x:c r="E20" s="68" t="str">
        <x:v>High</x:v>
      </x:c>
      <x:c r="F20" s="69" t="str">
        <x:v>The scope is communications-network and internet connectivity.</x:v>
      </x:c>
      <x:c r="G20" s="67" t="str">
        <x:v>2024-11-12</x:v>
      </x:c>
      <x:c r="H20" s="67" t="str">
        <x:v>Päijät-Hämeen hyvinvointialue</x:v>
      </x:c>
      <x:c r="I20" s="67" t="str">
        <x:v>IT services</x:v>
      </x:c>
      <x:c r="J20" s="67" t="str">
        <x:v>Finland – Wide area network services – Tietoliikennepalvelut Päijät-Hämeen hyvinvointialueelle</x:v>
      </x:c>
      <x:c r="K20" s="67" t="str">
        <x:v>72720000, 64210000, 72590000, 72710000</x:v>
      </x:c>
      <x:c r="L20" s="67" t="str">
        <x:v>Hankintayksikkö pyytää tarjousta seuraavasta palvelukokonaisuudesta: · Suljettu tietoliikenneverkko, internet-yhteys, DDoS-esto, lähiverkon palvelut ja näihin liittyviä optioita. Toimittajan tulee tarjota kokonaisuutta. Osatarjouksia ei hyväksytä. Vaihtoehtoisia tarjouksia ei hyväksytä. Kyseisen kokonaisuuden tarkemmat tiedot ja tarjousvaatimukset </x:v>
      </x:c>
      <x:c r="M20" s="67" t="str">
        <x:v>https://ted.europa.eu/en/notice/-/detail/688499-2024</x:v>
      </x:c>
      <x:c r="N20" s="68" t="str">
        <x:v>AI-assisted draft</x:v>
      </x:c>
      <x:c r="O20" s="70" t="str"/>
      <x:c r="P20" s="66" t="str">
        <x:v>Draft complete</x:v>
      </x:c>
    </x:row>
    <x:row r="21" ht="84" customHeight="1">
      <x:c r="A21" s="66" t="str">
        <x:v>R1-020</x:v>
      </x:c>
      <x:c r="B21" s="66" t="str">
        <x:v>297071-2024</x:v>
      </x:c>
      <x:c r="C21" s="66" t="str">
        <x:v>ITA</x:v>
      </x:c>
      <x:c r="D21" s="68" t="str">
        <x:v>Not relevant</x:v>
      </x:c>
      <x:c r="E21" s="68" t="str">
        <x:v>High</x:v>
      </x:c>
      <x:c r="F21" s="69" t="str">
        <x:v>The procurement is traffic-enforcement equipment with incidental software.</x:v>
      </x:c>
      <x:c r="G21" s="67" t="str">
        <x:v>2024-05-21</x:v>
      </x:c>
      <x:c r="H21" s="67" t="str">
        <x:v>Comune di Lecce</x:v>
      </x:c>
      <x:c r="I21" s="67" t="str">
        <x:v>IT services</x:v>
      </x:c>
      <x:c r="J21" s="67" t="str">
        <x:v>Italy – Facilities management services involving computer operation – SERVIZIO DI NOLEGGIO, INSTALLAZIONE, MANUTENZIONE ORDINARIA E STRAORDINARIA DI POSTAZIONI FISSE OMOLOGATE PER IL CONTROLLO AUTOMATICO DEL PASSAGGIO CON SEMAFORO ROSSO (ART. 146) DEL CODICE DELLA STRADA E CONNESSE ATTIVITA’ DI GESTIONE</x:v>
      </x:c>
      <x:c r="K21" s="67" t="str">
        <x:v>72514100</x:v>
      </x:c>
      <x:c r="L21" s="67" t="str">
        <x:v>L’appalto ha per oggetto il servizio mediante noleggio (comprensivo di installazione, manutenzione e i servizi connessi) di complessive n. 16 apparecchiature di rilevazione automatica delle infrazioni semaforiche (attraversamento di un incrocio con il semaforo indicante la luce rossa); art. 146, comma 3, del Codice della Strada (D. Lgs. 30 aprile 1</x:v>
      </x:c>
      <x:c r="M21" s="67" t="str">
        <x:v>https://ted.europa.eu/en/notice/-/detail/297071-2024</x:v>
      </x:c>
      <x:c r="N21" s="68" t="str">
        <x:v>AI-assisted draft</x:v>
      </x:c>
      <x:c r="O21" s="70" t="str"/>
      <x:c r="P21" s="66" t="str">
        <x:v>Draft complete</x:v>
      </x:c>
    </x:row>
    <x:row r="22" ht="84" customHeight="1">
      <x:c r="A22" s="66" t="str">
        <x:v>R1-021</x:v>
      </x:c>
      <x:c r="B22" s="66" t="str">
        <x:v>26137-2025</x:v>
      </x:c>
      <x:c r="C22" s="66" t="str">
        <x:v>FIN</x:v>
      </x:c>
      <x:c r="D22" s="68" t="str">
        <x:v>Not relevant</x:v>
      </x:c>
      <x:c r="E22" s="68" t="str">
        <x:v>High</x:v>
      </x:c>
      <x:c r="F22" s="69" t="str">
        <x:v>The service provides access to and publishing of scientific publications.</x:v>
      </x:c>
      <x:c r="G22" s="67" t="str">
        <x:v>2025-01-15</x:v>
      </x:c>
      <x:c r="H22" s="67" t="str">
        <x:v>Keskusrikospoliisi</x:v>
      </x:c>
      <x:c r="I22" s="67" t="str">
        <x:v>IT services</x:v>
      </x:c>
      <x:c r="J22" s="67" t="str">
        <x:v>Finland – Database services – Tieteelliset julkaisupalvelut</x:v>
      </x:c>
      <x:c r="K22" s="67" t="str">
        <x:v>72320000</x:v>
      </x:c>
      <x:c r="L22" s="67" t="str">
        <x:v>HANKINNAN KOHDE Hankinnan kohteena on sähköinen tieteellisten julkaisujen julkaisupalvelu Tilaajan palveluksessa oleville henkilöille ja Tilaajan määrittämille sidosryhmille sekä julkaisupalveluun liittyvät muut palvelut. Hankinnan kohteena palveluun kuuluu varsinaisen julkaisupalvelun lisäksi julkaisupalvelun käytön mahdollistavat toiminnot sekä t</x:v>
      </x:c>
      <x:c r="M22" s="67" t="str">
        <x:v>https://ted.europa.eu/en/notice/-/detail/26137-2025</x:v>
      </x:c>
      <x:c r="N22" s="68" t="str">
        <x:v>AI-assisted draft</x:v>
      </x:c>
      <x:c r="O22" s="70" t="str"/>
      <x:c r="P22" s="66" t="str">
        <x:v>Draft complete</x:v>
      </x:c>
    </x:row>
    <x:row r="23" ht="84" customHeight="1">
      <x:c r="A23" s="66" t="str">
        <x:v>R1-022</x:v>
      </x:c>
      <x:c r="B23" s="66" t="str">
        <x:v>449968-2024</x:v>
      </x:c>
      <x:c r="C23" s="66" t="str">
        <x:v>FIN</x:v>
      </x:c>
      <x:c r="D23" s="68" t="str">
        <x:v>Not relevant</x:v>
      </x:c>
      <x:c r="E23" s="68" t="str">
        <x:v>Medium</x:v>
      </x:c>
      <x:c r="F23" s="69" t="str">
        <x:v>The procurement is for quantum-computing hardware and services without an explicit AI or data workload.</x:v>
      </x:c>
      <x:c r="G23" s="67" t="str">
        <x:v>2024-07-26</x:v>
      </x:c>
      <x:c r="H23" s="67" t="str">
        <x:v>VTT Technical Research Centre of Finland Ltd</x:v>
      </x:c>
      <x:c r="I23" s="67" t="str">
        <x:v>IT services</x:v>
      </x:c>
      <x:c r="J23" s="67" t="str">
        <x:v>Finland – Data-processing machines (hardware) – INVITATION TO PARTICIPATE IN PROCUREMENT FOR QUANTUM COMPUTER WITH SERVICES</x:v>
      </x:c>
      <x:c r="K23" s="67" t="str">
        <x:v>30210000, 72000000, 73000000</x:v>
      </x:c>
      <x:c r="L23" s="67" t="str">
        <x:v>VTT Technical Research Centre of Finland Ltd., herein referred to as “VTT” or “Contracting Authority” expects your application to participate in the innovation partnership as detailed in the contract notice published on the public procurement website Hilma and this invitation to participate and its Annexes. Subject-matter of the Contract is the dev</x:v>
      </x:c>
      <x:c r="M23" s="67" t="str">
        <x:v>https://ted.europa.eu/en/notice/-/detail/449968-2024</x:v>
      </x:c>
      <x:c r="N23" s="68" t="str">
        <x:v>AI-assisted draft</x:v>
      </x:c>
      <x:c r="O23" s="70" t="str"/>
      <x:c r="P23" s="66" t="str">
        <x:v>Needs human review</x:v>
      </x:c>
    </x:row>
    <x:row r="24" ht="84" customHeight="1">
      <x:c r="A24" s="66" t="str">
        <x:v>R1-023</x:v>
      </x:c>
      <x:c r="B24" s="66" t="str">
        <x:v>384218-2026</x:v>
      </x:c>
      <x:c r="C24" s="66" t="str">
        <x:v>BEL</x:v>
      </x:c>
      <x:c r="D24" s="68" t="str">
        <x:v>Not relevant</x:v>
      </x:c>
      <x:c r="E24" s="68" t="str">
        <x:v>High</x:v>
      </x:c>
      <x:c r="F24" s="69" t="str">
        <x:v>The role is SAP plant-maintenance functional analysis.</x:v>
      </x:c>
      <x:c r="G24" s="67" t="str">
        <x:v>2026-06-04</x:v>
      </x:c>
      <x:c r="H24" s="67" t="str">
        <x:v>Infrabel nv</x:v>
      </x:c>
      <x:c r="I24" s="67" t="str">
        <x:v>IT services</x:v>
      </x:c>
      <x:c r="J24" s="67" t="str">
        <x:v>Belgium – IT services: consulting, software development, Internet and support – Emarket 869 - Senior Functional Analist SAP PM</x:v>
      </x:c>
      <x:c r="K24" s="67" t="str">
        <x:v>72000000</x:v>
      </x:c>
      <x:c r="L24" s="67" t="str">
        <x:v>Emarket 869 - Senior Functional Analist SAP PM - basé sur l’existence d’un système de qualification Y15Bis, I-46 publié aux niveaux belge et européen: https://www.publicprocurement.be/publication-workspaces/d5aa281d-f0b8-4143-a93e-c9cfbc8b9759/general conformément aux articles 11, 15 – 3° et 18 de l’AR du 18 juin 2017. Emarket 869 - Senior Function</x:v>
      </x:c>
      <x:c r="M24" s="67" t="str">
        <x:v>https://ted.europa.eu/en/notice/-/detail/384218-2026</x:v>
      </x:c>
      <x:c r="N24" s="68" t="str">
        <x:v>AI-assisted draft</x:v>
      </x:c>
      <x:c r="O24" s="70" t="str"/>
      <x:c r="P24" s="66" t="str">
        <x:v>Draft complete</x:v>
      </x:c>
    </x:row>
    <x:row r="25" ht="84" customHeight="1">
      <x:c r="A25" s="66" t="str">
        <x:v>R1-024</x:v>
      </x:c>
      <x:c r="B25" s="66" t="str">
        <x:v>381171-2026</x:v>
      </x:c>
      <x:c r="C25" s="66" t="str">
        <x:v>BEL</x:v>
      </x:c>
      <x:c r="D25" s="68" t="str">
        <x:v>Not relevant</x:v>
      </x:c>
      <x:c r="E25" s="68" t="str">
        <x:v>High</x:v>
      </x:c>
      <x:c r="F25" s="69" t="str">
        <x:v>The product is a customer-service ticketing tool; reporting and interfaces are supporting features.</x:v>
      </x:c>
      <x:c r="G25" s="67" t="str">
        <x:v>2026-06-03</x:v>
      </x:c>
      <x:c r="H25" s="67" t="str">
        <x:v>HR RAIL NV</x:v>
      </x:c>
      <x:c r="I25" s="67" t="str">
        <x:v>IT services</x:v>
      </x:c>
      <x:c r="J25" s="67" t="str">
        <x:v>Belgium – IT services: consulting, software development, Internet and support – Overheidsopdracht voor de implementatie en het ter beschikking stellen van een toepassing voor het beheer van binnenkomende communicatie via mail, telefoon en een te ontwikkelen beheerplatform (Ticketing Tool)</x:v>
      </x:c>
      <x:c r="K25" s="67" t="str">
        <x:v>72000000</x:v>
      </x:c>
      <x:c r="L25" s="67" t="str">
        <x:v>Voir le descriptif complet de l'objet du marché dans le guide de sélection. Le contrat portera sur la mise en œuvre, la fourniture des licences, la paramétrisation de départ, la formation à l’utilisation et la maintenance ultérieure et les développements d’un ticketing tool. L’outil de ticketing proposé ne sera pas à développer sur mesure, l’entité</x:v>
      </x:c>
      <x:c r="M25" s="67" t="str">
        <x:v>https://ted.europa.eu/en/notice/-/detail/381171-2026</x:v>
      </x:c>
      <x:c r="N25" s="68" t="str">
        <x:v>AI-assisted draft</x:v>
      </x:c>
      <x:c r="O25" s="70" t="str"/>
      <x:c r="P25" s="66" t="str">
        <x:v>Draft complete</x:v>
      </x:c>
    </x:row>
    <x:row r="26" ht="84" customHeight="1">
      <x:c r="A26" s="66" t="str">
        <x:v>R1-025</x:v>
      </x:c>
      <x:c r="B26" s="66" t="str">
        <x:v>657549-2023</x:v>
      </x:c>
      <x:c r="C26" s="66" t="str">
        <x:v>FIN</x:v>
      </x:c>
      <x:c r="D26" s="68" t="str">
        <x:v>Not relevant</x:v>
      </x:c>
      <x:c r="E26" s="68" t="str">
        <x:v>High</x:v>
      </x:c>
      <x:c r="F26" s="69" t="str">
        <x:v>The scope is an operational certificate-revocation service.</x:v>
      </x:c>
      <x:c r="G26" s="67" t="str">
        <x:v>2023-10-27</x:v>
      </x:c>
      <x:c r="H26" s="67" t="str">
        <x:v>Digi- ja väestötietovirasto</x:v>
      </x:c>
      <x:c r="I26" s="67" t="str">
        <x:v>IT services</x:v>
      </x:c>
      <x:c r="J26" s="67" t="str">
        <x:v>Finland – IT services: consulting, software development, Internet and support – Varmenteiden sulkupalvelu</x:v>
      </x:c>
      <x:c r="K26" s="67" t="str">
        <x:v>72000000, 72300000, 75130000</x:v>
      </x:c>
      <x:c r="L26" s="67" t="str">
        <x:v>Hankinnassa on kyse palveluntuottajan valinnasta vastaamaan Digi- ja väestötietoviraston (DVV) myöntämien varmenteiden sulkupalvelusta. Varmenteiden sulkupalvelu on ympärivuorokautinen, loppukäyttäjälle ilmainen 24/7 -palvelu, joka mahdollistaa Digi- ja väestötietoviraston myöntämien varmenteiden sulkupyyntöjen vastaanoton ja toteuttamisen. Varment</x:v>
      </x:c>
      <x:c r="M26" s="67" t="str">
        <x:v>https://ted.europa.eu/en/notice/-/detail/657549-2023</x:v>
      </x:c>
      <x:c r="N26" s="68" t="str">
        <x:v>AI-assisted draft</x:v>
      </x:c>
      <x:c r="O26" s="70" t="str"/>
      <x:c r="P26" s="66" t="str">
        <x:v>Draft complete</x:v>
      </x:c>
    </x:row>
    <x:row r="27" ht="84" customHeight="1">
      <x:c r="A27" s="66" t="str">
        <x:v>R1-026</x:v>
      </x:c>
      <x:c r="B27" s="66" t="str">
        <x:v>141414-2026</x:v>
      </x:c>
      <x:c r="C27" s="66" t="str">
        <x:v>FIN</x:v>
      </x:c>
      <x:c r="D27" s="68" t="str">
        <x:v>Not relevant</x:v>
      </x:c>
      <x:c r="E27" s="68" t="str">
        <x:v>High</x:v>
      </x:c>
      <x:c r="F27" s="69" t="str">
        <x:v>The request concerns a generic survey and event-management system.</x:v>
      </x:c>
      <x:c r="G27" s="67" t="str">
        <x:v>2026-03-02</x:v>
      </x:c>
      <x:c r="H27" s="67" t="str">
        <x:v>Istekki Oy</x:v>
      </x:c>
      <x:c r="I27" s="67" t="str">
        <x:v>IT services</x:v>
      </x:c>
      <x:c r="J27" s="67" t="str">
        <x:v>Finland – IT services: consulting, software development, Internet and support – TIETOPYYNTÖ / Kysely- ja tapahtumahallintajärjestelmän hankinta 2026</x:v>
      </x:c>
      <x:c r="K27" s="67" t="str">
        <x:v>72000000</x:v>
      </x:c>
      <x:c r="L27" s="67" t="str">
        <x:v>1 JOHDANTO Pyydämme teitä toimittamaan vastauksenne tähän kysely‑ ja tapahtumahallintajärjestelmän hankinnan suunnittelua koskevaan tietopyyntöön. Arvostamme suuresti kaikkia saamiamme vastauksia, ja jokainen niistä huomioidaan mahdollisen kilpailutuksen valmistelussa. Tällä tietopyynnöllä haluamme kartoittaa toimittajien tarjontaa järjestelmistä, </x:v>
      </x:c>
      <x:c r="M27" s="67" t="str">
        <x:v>https://ted.europa.eu/en/notice/-/detail/141414-2026</x:v>
      </x:c>
      <x:c r="N27" s="68" t="str">
        <x:v>AI-assisted draft</x:v>
      </x:c>
      <x:c r="O27" s="70" t="str"/>
      <x:c r="P27" s="66" t="str">
        <x:v>Draft complete</x:v>
      </x:c>
    </x:row>
    <x:row r="28" ht="84" customHeight="1">
      <x:c r="A28" s="66" t="str">
        <x:v>R1-027</x:v>
      </x:c>
      <x:c r="B28" s="66" t="str">
        <x:v>582938-2025</x:v>
      </x:c>
      <x:c r="C28" s="66" t="str">
        <x:v>BEL</x:v>
      </x:c>
      <x:c r="D28" s="68" t="str">
        <x:v>Relevant</x:v>
      </x:c>
      <x:c r="E28" s="68" t="str">
        <x:v>High</x:v>
      </x:c>
      <x:c r="F28" s="69" t="str">
        <x:v>The SaaS e-depot provides long-term storage and retrieval of digital records.</x:v>
      </x:c>
      <x:c r="G28" s="67" t="str">
        <x:v>2025-09-08</x:v>
      </x:c>
      <x:c r="H28" s="67" t="str">
        <x:v>Stad Menen</x:v>
      </x:c>
      <x:c r="I28" s="67" t="str">
        <x:v>IT services</x:v>
      </x:c>
      <x:c r="J28" s="67" t="str">
        <x:v>Belgium – IT services: consulting, software development, Internet and support – Software voor digitale archivering (E-depot)</x:v>
      </x:c>
      <x:c r="K28" s="67" t="str">
        <x:v>72000000</x:v>
      </x:c>
      <x:c r="L28" s="67" t="str">
        <x:v>De opdracht bedraagt de levering en installatie van een softwaretoepassing (SaaS) voor langetermijnopslag van digitale informatie, inclusief onderhoud en support. Stadsbestuur Menen wenst een e-depot voor het beheer van haar bedrijfsinformatie, dat alle soorten archiefdocumenten doorzoekbaar en terugvindbaar maakt voor interne en externe gebruikers</x:v>
      </x:c>
      <x:c r="M28" s="67" t="str">
        <x:v>https://ted.europa.eu/en/notice/-/detail/582938-2025</x:v>
      </x:c>
      <x:c r="N28" s="68" t="str">
        <x:v>AI-assisted draft</x:v>
      </x:c>
      <x:c r="O28" s="70" t="str"/>
      <x:c r="P28" s="66" t="str">
        <x:v>Draft complete</x:v>
      </x:c>
    </x:row>
    <x:row r="29" ht="84" customHeight="1">
      <x:c r="A29" s="66" t="str">
        <x:v>R1-028</x:v>
      </x:c>
      <x:c r="B29" s="66" t="str">
        <x:v>559159-2023</x:v>
      </x:c>
      <x:c r="C29" s="66" t="str">
        <x:v>BEL</x:v>
      </x:c>
      <x:c r="D29" s="68" t="str">
        <x:v>Relevant</x:v>
      </x:c>
      <x:c r="E29" s="68" t="str">
        <x:v>High</x:v>
      </x:c>
      <x:c r="F29" s="69" t="str">
        <x:v>Media monitoring, data collection and analysis are the procurement substance.</x:v>
      </x:c>
      <x:c r="G29" s="67" t="str">
        <x:v>2023-09-15</x:v>
      </x:c>
      <x:c r="H29" s="67" t="str">
        <x:v>Lantis (de naam waaronder BAM nv van publiek recht handelt)</x:v>
      </x:c>
      <x:c r="I29" s="67" t="str">
        <x:v>Software packages and information systems</x:v>
      </x:c>
      <x:c r="J29" s="67" t="str">
        <x:v>Belgium – Data collection and collation services – Mediamonitoring en -analyse</x:v>
      </x:c>
      <x:c r="K29" s="67" t="str">
        <x:v>72314000, 92400000, 72000000, 72316000, 79342300, 72212700, 48500000</x:v>
      </x:c>
      <x:c r="L29" s="67" t="str">
        <x:v>Middels onderhavige opdracht wenst de aanbestedende overheid over te gaan tot het sluiten van een overeenkomst met één opdrachtnemer voor het verstrekken van mediamonitoring en -analyse. Mediamonitoring en -analyse</x:v>
      </x:c>
      <x:c r="M29" s="67" t="str">
        <x:v>https://ted.europa.eu/en/notice/-/detail/559159-2023</x:v>
      </x:c>
      <x:c r="N29" s="68" t="str">
        <x:v>AI-assisted draft</x:v>
      </x:c>
      <x:c r="O29" s="70" t="str"/>
      <x:c r="P29" s="66" t="str">
        <x:v>Draft complete</x:v>
      </x:c>
    </x:row>
    <x:row r="30" ht="84" customHeight="1">
      <x:c r="A30" s="66" t="str">
        <x:v>R1-029</x:v>
      </x:c>
      <x:c r="B30" s="66" t="str">
        <x:v>131555-2026</x:v>
      </x:c>
      <x:c r="C30" s="66" t="str">
        <x:v>FIN</x:v>
      </x:c>
      <x:c r="D30" s="68" t="str">
        <x:v>Relevant</x:v>
      </x:c>
      <x:c r="E30" s="68" t="str">
        <x:v>High</x:v>
      </x:c>
      <x:c r="F30" s="69" t="str">
        <x:v>The security service explicitly uses AI, machine learning and data-driven detection.</x:v>
      </x:c>
      <x:c r="G30" s="67" t="str">
        <x:v>2026-02-25</x:v>
      </x:c>
      <x:c r="H30" s="67" t="str">
        <x:v>Veikkaus Oy</x:v>
      </x:c>
      <x:c r="I30" s="67" t="str">
        <x:v>Software packages and information systems</x:v>
      </x:c>
      <x:c r="J30" s="67" t="str">
        <x:v>Finland – IT services: consulting, software development, Internet and support – Detection and response technology and services</x:v>
      </x:c>
      <x:c r="K30" s="67" t="str">
        <x:v>72000000, 48000000</x:v>
      </x:c>
      <x:c r="L30" s="67" t="str">
        <x:v>Veikkaus is initiating a tendering process for modern security services and related technology components to strengthen and evolve its security operations capabilities. Veikkaus seeks managed Detection and Response services on top of cloud-native, scalable, and automation-driven solutions that utilize Artificial Intelligence (AI) and Machine Learni</x:v>
      </x:c>
      <x:c r="M30" s="67" t="str">
        <x:v>https://ted.europa.eu/en/notice/-/detail/131555-2026</x:v>
      </x:c>
      <x:c r="N30" s="68" t="str">
        <x:v>AI-assisted draft</x:v>
      </x:c>
      <x:c r="O30" s="70" t="str"/>
      <x:c r="P30" s="66" t="str">
        <x:v>Draft complete</x:v>
      </x:c>
    </x:row>
    <x:row r="31" ht="84" customHeight="1">
      <x:c r="A31" s="66" t="str">
        <x:v>R1-030</x:v>
      </x:c>
      <x:c r="B31" s="66" t="str">
        <x:v>474857-2026</x:v>
      </x:c>
      <x:c r="C31" s="66" t="str">
        <x:v>BEL</x:v>
      </x:c>
      <x:c r="D31" s="68" t="str">
        <x:v>Not relevant</x:v>
      </x:c>
      <x:c r="E31" s="68" t="str">
        <x:v>High</x:v>
      </x:c>
      <x:c r="F31" s="69" t="str">
        <x:v>The role is general SAP full-stack software engineering.</x:v>
      </x:c>
      <x:c r="G31" s="67" t="str">
        <x:v>2026-07-09</x:v>
      </x:c>
      <x:c r="H31" s="67" t="str">
        <x:v>Infrabel nv</x:v>
      </x:c>
      <x:c r="I31" s="67" t="str">
        <x:v>IT services</x:v>
      </x:c>
      <x:c r="J31" s="67" t="str">
        <x:v>Belgium – IT services: consulting, software development, Internet and support – e-Market 926 - SAP Fullstack Software Engineer</x:v>
      </x:c>
      <x:c r="K31" s="67" t="str">
        <x:v>72000000</x:v>
      </x:c>
      <x:c r="L31" s="67" t="str">
        <x:v>e-Market 926 - SAP Fullstack Software Engineer (basé sur l’existence d’un système de qualification Y15Bis, I-46 publié aux niveaux belge et européen: https://www.publicprocurement.be/publication-workspaces/d5aa281d-f0b8-4143-a93e-c9cfbc8b9759/general conformément aux articles 11, 15 – 3° et 18 de l’AR du 18 juin 2017) e-Market 926 - SAP Fullstack S</x:v>
      </x:c>
      <x:c r="M31" s="67" t="str">
        <x:v>https://ted.europa.eu/en/notice/-/detail/474857-2026</x:v>
      </x:c>
      <x:c r="N31" s="68" t="str">
        <x:v>AI-assisted draft</x:v>
      </x:c>
      <x:c r="O31" s="70" t="str"/>
      <x:c r="P31" s="66" t="str">
        <x:v>Draft complete</x:v>
      </x:c>
    </x:row>
    <x:row r="32" ht="84" customHeight="1">
      <x:c r="A32" s="66" t="str">
        <x:v>R1-031</x:v>
      </x:c>
      <x:c r="B32" s="66" t="str">
        <x:v>639988-2025</x:v>
      </x:c>
      <x:c r="C32" s="66" t="str">
        <x:v>ITA</x:v>
      </x:c>
      <x:c r="D32" s="68" t="str">
        <x:v>Relevant</x:v>
      </x:c>
      <x:c r="E32" s="68" t="str">
        <x:v>High</x:v>
      </x:c>
      <x:c r="F32" s="69" t="str">
        <x:v>A Common Data Environment is the central platform being implemented.</x:v>
      </x:c>
      <x:c r="G32" s="67" t="str">
        <x:v>2025-10-01</x:v>
      </x:c>
      <x:c r="H32" s="67" t="str">
        <x:v>Galleria di Base del Brennero</x:v>
      </x:c>
      <x:c r="I32" s="67" t="str">
        <x:v>Software packages and information systems</x:v>
      </x:c>
      <x:c r="J32" s="67" t="str">
        <x:v>Italy – Software implementation services – AP387 Common Data Environment (CDE) per BBT SE</x:v>
      </x:c>
      <x:c r="K32" s="67" t="str">
        <x:v>72263000, 48900000</x:v>
      </x:c>
      <x:c r="L32" s="67" t="str">
        <x:v>Mit dem gegenständlichen Verfahren wird ein Common Data Environment (CDE) beschafft. Gegenstand des zu vergebenden Auftrags sind: • Bereitstellung und Aktivierung der Nutzerlizenzen • Organisation und Entwicklung des IT-Projekts zur Einführung und Parametrisierung des Systems für die besonderen Gegebenheiten der BBT-SE, einschließlich des Supports </x:v>
      </x:c>
      <x:c r="M32" s="67" t="str">
        <x:v>https://ted.europa.eu/en/notice/-/detail/639988-2025</x:v>
      </x:c>
      <x:c r="N32" s="68" t="str">
        <x:v>AI-assisted draft</x:v>
      </x:c>
      <x:c r="O32" s="70" t="str"/>
      <x:c r="P32" s="66" t="str">
        <x:v>Draft complete</x:v>
      </x:c>
    </x:row>
    <x:row r="33" ht="84" customHeight="1">
      <x:c r="A33" s="66" t="str">
        <x:v>R1-032</x:v>
      </x:c>
      <x:c r="B33" s="66" t="str">
        <x:v>253873-2024</x:v>
      </x:c>
      <x:c r="C33" s="66" t="str">
        <x:v>BEL</x:v>
      </x:c>
      <x:c r="D33" s="68" t="str">
        <x:v>Not relevant</x:v>
      </x:c>
      <x:c r="E33" s="68" t="str">
        <x:v>High</x:v>
      </x:c>
      <x:c r="F33" s="69" t="str">
        <x:v>The purchase concerns tagged waste containers and rollout support.</x:v>
      </x:c>
      <x:c r="G33" s="67" t="str">
        <x:v>2024-04-29</x:v>
      </x:c>
      <x:c r="H33" s="67" t="str">
        <x:v>Antwerpen</x:v>
      </x:c>
      <x:c r="I33" s="67" t="str">
        <x:v>IT services</x:v>
      </x:c>
      <x:c r="J33" s="67" t="str">
        <x:v>Belgium – Waste and rubbish containers and bins – Uitrol en nazorg afvalcontainers met tag</x:v>
      </x:c>
      <x:c r="K33" s="67" t="str">
        <x:v>34928480, 90513100, 72253000, 66172000, 90511200</x:v>
      </x:c>
      <x:c r="L33" s="67" t="str">
        <x:v>Uitrol en nazorg afvalcontainers met tag Uitrol en nazorg afvalcontainers met tag</x:v>
      </x:c>
      <x:c r="M33" s="67" t="str">
        <x:v>https://ted.europa.eu/en/notice/-/detail/253873-2024</x:v>
      </x:c>
      <x:c r="N33" s="68" t="str">
        <x:v>AI-assisted draft</x:v>
      </x:c>
      <x:c r="O33" s="70" t="str"/>
      <x:c r="P33" s="66" t="str">
        <x:v>Draft complete</x:v>
      </x:c>
    </x:row>
    <x:row r="34" ht="84" customHeight="1">
      <x:c r="A34" s="66" t="str">
        <x:v>R1-033</x:v>
      </x:c>
      <x:c r="B34" s="66" t="str">
        <x:v>578914-2024</x:v>
      </x:c>
      <x:c r="C34" s="66" t="str">
        <x:v>BEL</x:v>
      </x:c>
      <x:c r="D34" s="68" t="str">
        <x:v>Not relevant</x:v>
      </x:c>
      <x:c r="E34" s="68" t="str">
        <x:v>High</x:v>
      </x:c>
      <x:c r="F34" s="69" t="str">
        <x:v>The procurement is limited to WAN communication lines.</x:v>
      </x:c>
      <x:c r="G34" s="67" t="str">
        <x:v>2024-09-26</x:v>
      </x:c>
      <x:c r="H34" s="67" t="str">
        <x:v>skeyes</x:v>
      </x:c>
      <x:c r="I34" s="67" t="str">
        <x:v>IT services</x:v>
      </x:c>
      <x:c r="J34" s="67" t="str">
        <x:v>Belgium – Wide area network services – WAN Lines - DiTo Namur RTC</x:v>
      </x:c>
      <x:c r="K34" s="67" t="str">
        <x:v>72720000</x:v>
      </x:c>
      <x:c r="L34" s="67" t="str">
        <x:v>Procédure négociée avec mise en concurrence préalable au début de la procédure pour la conclusion d'un contrat avec un ou plusieurs fournisseurs de lignes de communication ("WAN Lines - DiTo Namur RTC"). Onderhandelingsprocedure met voorafgaande oproep tot mededinging bij de aanvang van de procedure voor het afsluiten van een contract met één of me</x:v>
      </x:c>
      <x:c r="M34" s="67" t="str">
        <x:v>https://ted.europa.eu/en/notice/-/detail/578914-2024</x:v>
      </x:c>
      <x:c r="N34" s="68" t="str">
        <x:v>AI-assisted draft</x:v>
      </x:c>
      <x:c r="O34" s="70" t="str"/>
      <x:c r="P34" s="66" t="str">
        <x:v>Draft complete</x:v>
      </x:c>
    </x:row>
    <x:row r="35" ht="84" customHeight="1">
      <x:c r="A35" s="66" t="str">
        <x:v>R1-034</x:v>
      </x:c>
      <x:c r="B35" s="66" t="str">
        <x:v>438169-2026</x:v>
      </x:c>
      <x:c r="C35" s="66" t="str">
        <x:v>BEL</x:v>
      </x:c>
      <x:c r="D35" s="68" t="str">
        <x:v>Relevant</x:v>
      </x:c>
      <x:c r="E35" s="68" t="str">
        <x:v>High</x:v>
      </x:c>
      <x:c r="F35" s="69" t="str">
        <x:v>The requested role is explicitly an SAP artificial-intelligence engineer.</x:v>
      </x:c>
      <x:c r="G35" s="67" t="str">
        <x:v>2026-06-25</x:v>
      </x:c>
      <x:c r="H35" s="67" t="str">
        <x:v>Infrabel nv</x:v>
      </x:c>
      <x:c r="I35" s="67" t="str">
        <x:v>IT services</x:v>
      </x:c>
      <x:c r="J35" s="67" t="str">
        <x:v>Belgium – IT services: consulting, software development, Internet and support – e-Market 836 - SAP Artificial Intelligence Engineer</x:v>
      </x:c>
      <x:c r="K35" s="67" t="str">
        <x:v>72000000</x:v>
      </x:c>
      <x:c r="L35" s="67" t="str">
        <x:v>e-Market 836 - SAP Artificial Intelligence Engineer (basé sur l’existence d’un système de qualification Y15Bis, I-46 publié aux niveaux belge et européen: https://www.publicprocurement.be/publication-workspaces/d5aa281d-f0b8-4143-a93e-c9cfbc8b9759/general conformément aux articles 11, 15 – 3° et 18 de l’AR du 18 juin 2017) e-Market 836 - SAP Artifi</x:v>
      </x:c>
      <x:c r="M35" s="67" t="str">
        <x:v>https://ted.europa.eu/en/notice/-/detail/438169-2026</x:v>
      </x:c>
      <x:c r="N35" s="68" t="str">
        <x:v>AI-assisted draft</x:v>
      </x:c>
      <x:c r="O35" s="70" t="str"/>
      <x:c r="P35" s="66" t="str">
        <x:v>Draft complete</x:v>
      </x:c>
    </x:row>
    <x:row r="36" ht="84" customHeight="1">
      <x:c r="A36" s="66" t="str">
        <x:v>R1-035</x:v>
      </x:c>
      <x:c r="B36" s="66" t="str">
        <x:v>583593-2023</x:v>
      </x:c>
      <x:c r="C36" s="66" t="str">
        <x:v>FIN</x:v>
      </x:c>
      <x:c r="D36" s="68" t="str">
        <x:v>Not relevant</x:v>
      </x:c>
      <x:c r="E36" s="68" t="str">
        <x:v>High</x:v>
      </x:c>
      <x:c r="F36" s="69" t="str">
        <x:v>The dynamic purchasing system covers specialized end-user computers and accessories.</x:v>
      </x:c>
      <x:c r="G36" s="67" t="str">
        <x:v>2023-09-28</x:v>
      </x:c>
      <x:c r="H36" s="67" t="str">
        <x:v>Hansel Oy</x:v>
      </x:c>
      <x:c r="I36" s="67" t="str">
        <x:v>Software packages and information systems</x:v>
      </x:c>
      <x:c r="J36" s="67" t="str">
        <x:v>Finland – Computer equipment and supplies – Erikoiskäyttötietokoneet 2023-2027 (DPS)</x:v>
      </x:c>
      <x:c r="K36" s="67" t="str">
        <x:v>30200000, 30212000, 30212100, 30213000, 30213100, 30213200, 30213300, 30213400, 30214000, 30215000, 30215100, 30230000, 30231000, 30231100, 30231310, 30231320, 30233000, 30233132, 30233150, 30233180, 30237000, 30237253, 30237260, 30237270, 30237280, 30237400, 33192000, 33197000, 48420000, 48620000, 72500000, 72510000, 72610000, 72611000</x:v>
      </x:c>
      <x:c r="L36" s="67" t="str">
        <x:v>DYNAAMISEN HANKINTAJÄRJESTELMÄN KOHDE Tämän dynaamisen hankintajärjestelmän (DPS) kohteena ovat erikoiskäyttötietokoneet (esimerkiksi vaativiin ympäristöolosuhteisiin tarkoitetut ruggeroidut tietokoneet, sairaalatietokoneet ja ajoneuvotietokoneet) sekä niihin liittyvät lisälaitteet, lisätarvikkeet ja palvelut Hansel Oy:n asiakkaille. DPS:n kohde on</x:v>
      </x:c>
      <x:c r="M36" s="67" t="str">
        <x:v>https://ted.europa.eu/en/notice/-/detail/583593-2023</x:v>
      </x:c>
      <x:c r="N36" s="68" t="str">
        <x:v>AI-assisted draft</x:v>
      </x:c>
      <x:c r="O36" s="70" t="str"/>
      <x:c r="P36" s="66" t="str">
        <x:v>Draft complete</x:v>
      </x:c>
    </x:row>
    <x:row r="37" ht="84" customHeight="1">
      <x:c r="A37" s="66" t="str">
        <x:v>R1-036</x:v>
      </x:c>
      <x:c r="B37" s="66" t="str">
        <x:v>377655-2026</x:v>
      </x:c>
      <x:c r="C37" s="66" t="str">
        <x:v>BEL</x:v>
      </x:c>
      <x:c r="D37" s="68" t="str">
        <x:v>Relevant</x:v>
      </x:c>
      <x:c r="E37" s="68" t="str">
        <x:v>High</x:v>
      </x:c>
      <x:c r="F37" s="69" t="str">
        <x:v>The contract procures structured tariff, tax and procedural data for a database.</x:v>
      </x:c>
      <x:c r="G37" s="67" t="str">
        <x:v>2026-06-02</x:v>
      </x:c>
      <x:c r="H37" s="67" t="str">
        <x:v>European Commission, DG TRADE - Trade</x:v>
      </x:c>
      <x:c r="I37" s="67" t="str">
        <x:v>IT services</x:v>
      </x:c>
      <x:c r="J37" s="67" t="str">
        <x:v>Belgium – Data supply services – Procurement of data for the "Tariffs", "Taxes" and "Procedures and Formalities" section of Access2Markets for 2027-2030</x:v>
      </x:c>
      <x:c r="K37" s="67" t="str">
        <x:v>72319000, 71621000, 73000000, 72314000</x:v>
      </x:c>
      <x:c r="L37" s="67" t="str">
        <x:v>Procurement of data to include information in the database about the "Tariffs", "Internal Taxes" and "Procedures and Formalities" sections of the Access2Markets platform for the years 2027 - 2030 for EU goods exported to at least 151 customs areas.</x:v>
      </x:c>
      <x:c r="M37" s="67" t="str">
        <x:v>https://ted.europa.eu/en/notice/-/detail/377655-2026</x:v>
      </x:c>
      <x:c r="N37" s="68" t="str">
        <x:v>AI-assisted draft</x:v>
      </x:c>
      <x:c r="O37" s="70" t="str"/>
      <x:c r="P37" s="66" t="str">
        <x:v>Draft complete</x:v>
      </x:c>
    </x:row>
    <x:row r="38" ht="84" customHeight="1">
      <x:c r="A38" s="66" t="str">
        <x:v>R1-037</x:v>
      </x:c>
      <x:c r="B38" s="66" t="str">
        <x:v>555007-2026</x:v>
      </x:c>
      <x:c r="C38" s="66" t="str">
        <x:v>FIN</x:v>
      </x:c>
      <x:c r="D38" s="68" t="str">
        <x:v>Not relevant</x:v>
      </x:c>
      <x:c r="E38" s="68" t="str">
        <x:v>High</x:v>
      </x:c>
      <x:c r="F38" s="69" t="str">
        <x:v>The scope is consumer and professional electronics equipment.</x:v>
      </x:c>
      <x:c r="G38" s="67" t="str">
        <x:v>2026-08-11</x:v>
      </x:c>
      <x:c r="H38" s="67" t="str">
        <x:v>Hansel Oy</x:v>
      </x:c>
      <x:c r="I38" s="67" t="str">
        <x:v>Computing equipment and supplies</x:v>
      </x:c>
      <x:c r="J38" s="67" t="str">
        <x:v>Finland – Television and radio receivers, and sound or video recording or reproducing apparatus – Kulutus- ja ammattielektroniikan laitteet 2026 (00736)</x:v>
      </x:c>
      <x:c r="K38" s="67" t="str">
        <x:v>32300000, 30191000, 30216000, 30231000, 30232000, 30233000, 30234000, 30237200, 30237300, 30237400, 31440000, 31500000, 32200000, 32321200, 32322000, 32323000, 32324000, 32351000, 34711200, 37532000, 38112000, 38114000, 38630000, 38650000, 38820000, 39710000, 50000000, 51000000</x:v>
      </x:c>
      <x:c r="L38" s="67" t="str">
        <x:v>DYNAAMISEN HANKINTAJÄRJESTELMÄN KOHDE Tämän dynaamisen hankintajärjestelmän (jäljempänä myös "DPS") kohteena on ammatti-, viihde-, ja kulutuselektroniikan laitteiden, kodinkoneiden ja kodinelektroniikan, niiden lisävarusteiden, sekä hankittaviin laitteisiin liittyvien tarvikkeiden ja palveluiden toimittaminen Hansel Oy:n (jäljempänä Hansel) asiakka</x:v>
      </x:c>
      <x:c r="M38" s="67" t="str">
        <x:v>https://ted.europa.eu/en/notice/-/detail/555007-2026</x:v>
      </x:c>
      <x:c r="N38" s="68" t="str">
        <x:v>AI-assisted draft</x:v>
      </x:c>
      <x:c r="O38" s="70" t="str"/>
      <x:c r="P38" s="66" t="str">
        <x:v>Draft complete</x:v>
      </x:c>
    </x:row>
    <x:row r="39" ht="84" customHeight="1">
      <x:c r="A39" s="66" t="str">
        <x:v>R1-038</x:v>
      </x:c>
      <x:c r="B39" s="66" t="str">
        <x:v>866139-2025</x:v>
      </x:c>
      <x:c r="C39" s="66" t="str">
        <x:v>BEL</x:v>
      </x:c>
      <x:c r="D39" s="68" t="str">
        <x:v>Relevant</x:v>
      </x:c>
      <x:c r="E39" s="68" t="str">
        <x:v>High</x:v>
      </x:c>
      <x:c r="F39" s="69" t="str">
        <x:v>Integrated legal database software and its maintenance are the core scope.</x:v>
      </x:c>
      <x:c r="G39" s="67" t="str">
        <x:v>2025-12-30</x:v>
      </x:c>
      <x:c r="H39" s="67" t="str">
        <x:v>Vlaamse Hogescholenraad</x:v>
      </x:c>
      <x:c r="I39" s="67" t="str">
        <x:v>Software packages and information systems</x:v>
      </x:c>
      <x:c r="J39" s="67" t="str">
        <x:v>Belgium – Technical publications – Raamovereenkomst juridische databanken</x:v>
      </x:c>
      <x:c r="K39" s="67" t="str">
        <x:v>22121000, 48610000, 48611000, 22120000, 72512000, 72261000, 48161000</x:v>
      </x:c>
      <x:c r="L39" s="67" t="str">
        <x:v>Raamovereenkomst met betrekking tot de levering en onderhoud van software voor geïntegreerde juridische databanken. Raamovereenkomst met betrekking tot de levering en onderhoud van software voor geïntegreerde juridische databanken.</x:v>
      </x:c>
      <x:c r="M39" s="67" t="str">
        <x:v>https://ted.europa.eu/en/notice/-/detail/866139-2025</x:v>
      </x:c>
      <x:c r="N39" s="68" t="str">
        <x:v>AI-assisted draft</x:v>
      </x:c>
      <x:c r="O39" s="70" t="str"/>
      <x:c r="P39" s="66" t="str">
        <x:v>Draft complete</x:v>
      </x:c>
    </x:row>
    <x:row r="40" ht="84" customHeight="1">
      <x:c r="A40" s="66" t="str">
        <x:v>R1-039</x:v>
      </x:c>
      <x:c r="B40" s="66" t="str">
        <x:v>502606-2025</x:v>
      </x:c>
      <x:c r="C40" s="66" t="str">
        <x:v>BEL</x:v>
      </x:c>
      <x:c r="D40" s="68" t="str">
        <x:v>Relevant</x:v>
      </x:c>
      <x:c r="E40" s="68" t="str">
        <x:v>Medium</x:v>
      </x:c>
      <x:c r="F40" s="69" t="str">
        <x:v>The proof of concept centers on a dashboard that unifies operational care information.</x:v>
      </x:c>
      <x:c r="G40" s="67" t="str">
        <x:v>2025-07-31</x:v>
      </x:c>
      <x:c r="H40" s="67" t="str">
        <x:v>Universiteit Hasselt</x:v>
      </x:c>
      <x:c r="I40" s="67" t="str">
        <x:v>IT services</x:v>
      </x:c>
      <x:c r="J40" s="67" t="str">
        <x:v>Belgium – IT services: consulting, software development, Internet and support – Unifying Dashboard</x:v>
      </x:c>
      <x:c r="K40" s="67" t="str">
        <x:v>72000000</x:v>
      </x:c>
      <x:c r="L40" s="67" t="str">
        <x:v>De opdracht omvat het ontwerpen en ontwikkelen van een Proof of Concept van een Unifying Dashboard voor de organisatie van hybride zorg via een Slimme Zorghub. De opdracht omvat het ontwerpen en ontwikkelen van een Proof of Concept van een Unifying Dashboard voor de organisatie van hybride zorg via een Slimme Zorghub.</x:v>
      </x:c>
      <x:c r="M40" s="67" t="str">
        <x:v>https://ted.europa.eu/en/notice/-/detail/502606-2025</x:v>
      </x:c>
      <x:c r="N40" s="68" t="str">
        <x:v>AI-assisted draft</x:v>
      </x:c>
      <x:c r="O40" s="70" t="str"/>
      <x:c r="P40" s="66" t="str">
        <x:v>Needs human review</x:v>
      </x:c>
    </x:row>
    <x:row r="41" ht="84" customHeight="1">
      <x:c r="A41" s="66" t="str">
        <x:v>R1-040</x:v>
      </x:c>
      <x:c r="B41" s="66" t="str">
        <x:v>550088-2026</x:v>
      </x:c>
      <x:c r="C41" s="66" t="str">
        <x:v>BEL</x:v>
      </x:c>
      <x:c r="D41" s="68" t="str">
        <x:v>Not relevant</x:v>
      </x:c>
      <x:c r="E41" s="68" t="str">
        <x:v>High</x:v>
      </x:c>
      <x:c r="F41" s="69" t="str">
        <x:v>The framework concerns management and extension of a transport IT network.</x:v>
      </x:c>
      <x:c r="G41" s="67" t="str">
        <x:v>2026-08-07</x:v>
      </x:c>
      <x:c r="H41" s="67" t="str">
        <x:v>Brussels Hoofdstedelijk Gewest</x:v>
      </x:c>
      <x:c r="I41" s="67" t="str">
        <x:v>IT services</x:v>
      </x:c>
      <x:c r="J41" s="67" t="str">
        <x:v>Belgium – IT services: consulting, software development, Internet and support – Accord-cadre pour la gestion et l’extension du réseau informatique dédiés aux applications critiques pour l’exploitation des transports en commun de la Région de Bruxelles-Capitale.</x:v>
      </x:c>
      <x:c r="K41" s="67" t="str">
        <x:v>72000000</x:v>
      </x:c>
      <x:c r="L41" s="67" t="str">
        <x:v>Accord-cadre pour la gestion technique et l’extension du réseau informatique dédiés aux applications critiques pour l’exploitation des transports en commun de la Région de Bruxelles-Capitale. Raamovereenkomst voor het beheer en de uitbreiding van informaticanet bestemd voor kritieke toepassingen voor de exploitatie van het openbaar vervoer in het B</x:v>
      </x:c>
      <x:c r="M41" s="67" t="str">
        <x:v>https://ted.europa.eu/en/notice/-/detail/550088-2026</x:v>
      </x:c>
      <x:c r="N41" s="68" t="str">
        <x:v>AI-assisted draft</x:v>
      </x:c>
      <x:c r="O41" s="70" t="str"/>
      <x:c r="P41" s="66" t="str">
        <x:v>Draft complete</x:v>
      </x:c>
    </x:row>
    <x:row r="42" ht="84" customHeight="1">
      <x:c r="A42" s="66" t="str">
        <x:v>R1-041</x:v>
      </x:c>
      <x:c r="B42" s="66" t="str">
        <x:v>98651-2026</x:v>
      </x:c>
      <x:c r="C42" s="66" t="str">
        <x:v>ITA</x:v>
      </x:c>
      <x:c r="D42" s="68" t="str">
        <x:v>Not relevant</x:v>
      </x:c>
      <x:c r="E42" s="68" t="str">
        <x:v>High</x:v>
      </x:c>
      <x:c r="F42" s="69" t="str">
        <x:v>The service supports administrative traffic-violation case handling.</x:v>
      </x:c>
      <x:c r="G42" s="67" t="str">
        <x:v>2026-02-11</x:v>
      </x:c>
      <x:c r="H42" s="67" t="str">
        <x:v>Federazione dei Comuni del Camposampierese</x:v>
      </x:c>
      <x:c r="I42" s="67" t="str">
        <x:v>IT services</x:v>
      </x:c>
      <x:c r="J42" s="67" t="str">
        <x:v>Italy – Document management services – Procedura aperta per affidamento servizio supporto amministrativo alla gestione dei procedimenti e dei processi afferenti al processo sanzionatorio amministrativo di competenza della polizia locale del Comune di Torri del Benaco (VR)</x:v>
      </x:c>
      <x:c r="K42" s="67" t="str">
        <x:v>72512000</x:v>
      </x:c>
      <x:c r="L42" s="67" t="str">
        <x:v>vedi disciplinare/documento di gara Lotto 1: targhe italiane e trasgressori ovvero obbligati in solido aventi residenza o sede in Italia Lotto 2: targhe estere e trasgressori ovvero obbligati in solido residenti all&amp;#8217;estero.</x:v>
      </x:c>
      <x:c r="M42" s="67" t="str">
        <x:v>https://ted.europa.eu/en/notice/-/detail/98651-2026</x:v>
      </x:c>
      <x:c r="N42" s="68" t="str">
        <x:v>AI-assisted draft</x:v>
      </x:c>
      <x:c r="O42" s="70" t="str"/>
      <x:c r="P42" s="66" t="str">
        <x:v>Draft complete</x:v>
      </x:c>
    </x:row>
    <x:row r="43" ht="84" customHeight="1">
      <x:c r="A43" s="66" t="str">
        <x:v>R1-042</x:v>
      </x:c>
      <x:c r="B43" s="66" t="str">
        <x:v>129077-2022</x:v>
      </x:c>
      <x:c r="C43" s="66" t="str">
        <x:v>FIN</x:v>
      </x:c>
      <x:c r="D43" s="68" t="str">
        <x:v>Not relevant</x:v>
      </x:c>
      <x:c r="E43" s="68" t="str">
        <x:v>High</x:v>
      </x:c>
      <x:c r="F43" s="69" t="str">
        <x:v>The available scope is telecommunications and network services.</x:v>
      </x:c>
      <x:c r="G43" s="67" t="str">
        <x:v>2022-03-11</x:v>
      </x:c>
      <x:c r="H43" s="67" t="str">
        <x:v>Kuntien Tiera Oy</x:v>
      </x:c>
      <x:c r="I43" s="67" t="str">
        <x:v>IT services</x:v>
      </x:c>
      <x:c r="J43" s="67" t="str">
        <x:v>Finland-Helsinki: Telecommunications services</x:v>
      </x:c>
      <x:c r="K43" s="67" t="str">
        <x:v>64200000, 64210000, 72300000, 72315000, 72411000, 72590000, 72700000, 72710000</x:v>
      </x:c>
      <x:c r="L43" s="67" t="str"/>
      <x:c r="M43" s="67" t="str">
        <x:v>https://ted.europa.eu/en/notice/-/detail/129077-2022</x:v>
      </x:c>
      <x:c r="N43" s="68" t="str">
        <x:v>AI-assisted draft</x:v>
      </x:c>
      <x:c r="O43" s="70" t="str"/>
      <x:c r="P43" s="66" t="str">
        <x:v>Draft complete</x:v>
      </x:c>
    </x:row>
    <x:row r="44" ht="84" customHeight="1">
      <x:c r="A44" s="66" t="str">
        <x:v>R1-043</x:v>
      </x:c>
      <x:c r="B44" s="66" t="str">
        <x:v>416307-2026</x:v>
      </x:c>
      <x:c r="C44" s="66" t="str">
        <x:v>BEL</x:v>
      </x:c>
      <x:c r="D44" s="68" t="str">
        <x:v>Relevant</x:v>
      </x:c>
      <x:c r="E44" s="68" t="str">
        <x:v>High</x:v>
      </x:c>
      <x:c r="F44" s="69" t="str">
        <x:v>Integrated legal databases are the primary software being supplied.</x:v>
      </x:c>
      <x:c r="G44" s="67" t="str">
        <x:v>2026-06-17</x:v>
      </x:c>
      <x:c r="H44" s="67" t="str">
        <x:v>Vlaamse Hogescholenraad</x:v>
      </x:c>
      <x:c r="I44" s="67" t="str">
        <x:v>Software packages and information systems</x:v>
      </x:c>
      <x:c r="J44" s="67" t="str">
        <x:v>Belgium – Technical publications – Raamovereenkomst juridische databanken - recall</x:v>
      </x:c>
      <x:c r="K44" s="67" t="str">
        <x:v>22121000, 48610000, 48611000, 22120000, 72512000, 72261000, 48161000</x:v>
      </x:c>
      <x:c r="L44" s="67" t="str">
        <x:v>Raamovereenkomst met betrekking tot de levering en onderhoud van software voor geïntegreerde juridische databanken. Raamovereenkomst met betrekking tot de levering en onderhoud van software voor geïntegreerde juridische databanken.</x:v>
      </x:c>
      <x:c r="M44" s="67" t="str">
        <x:v>https://ted.europa.eu/en/notice/-/detail/416307-2026</x:v>
      </x:c>
      <x:c r="N44" s="68" t="str">
        <x:v>AI-assisted draft</x:v>
      </x:c>
      <x:c r="O44" s="70" t="str"/>
      <x:c r="P44" s="66" t="str">
        <x:v>Draft complete</x:v>
      </x:c>
    </x:row>
    <x:row r="45" ht="84" customHeight="1">
      <x:c r="A45" s="66" t="str">
        <x:v>R1-044</x:v>
      </x:c>
      <x:c r="B45" s="66" t="str">
        <x:v>576256-2026</x:v>
      </x:c>
      <x:c r="C45" s="66" t="str">
        <x:v>ITA</x:v>
      </x:c>
      <x:c r="D45" s="68" t="str">
        <x:v>Not relevant</x:v>
      </x:c>
      <x:c r="E45" s="68" t="str">
        <x:v>Medium</x:v>
      </x:c>
      <x:c r="F45" s="69" t="str">
        <x:v>The product digitizes a genetics department workflow but does not describe analytics or data services.</x:v>
      </x:c>
      <x:c r="G45" s="67" t="str">
        <x:v>2026-08-20</x:v>
      </x:c>
      <x:c r="H45" s="67" t="str">
        <x:v>ASST SANTI PAOLO E CARLO</x:v>
      </x:c>
      <x:c r="I45" s="67" t="str">
        <x:v>Software packages and information systems</x:v>
      </x:c>
      <x:c r="J45" s="67" t="str">
        <x:v>Italy – Analytical, scientific, mathematical or forecasting software package – ACQUISIZIONE DI UN SOFTWARE GESTIONALE PER LA DIGITALIZZAZIONE DEI FLUSSI DI LAVORO DELLA S.C. GENETICA MEDICA</x:v>
      </x:c>
      <x:c r="K45" s="67" t="str">
        <x:v>48460000</x:v>
      </x:c>
      <x:c r="L45" s="67" t="str">
        <x:v>ACQUISIZIONE DI UN SOFTWARE GESTIONALE PER LA DIGITALIZZAZIONE DEI FLUSSI DI LAVORO DELLA S.C. GENETICA MEDICA ACQUISIZIONE DI UN SOFTWARE GESTIONALE PER LA DIGITALIZZAZIONE DEI FLUSSI DI LAVORO DELLA S.C. GENETICA MEDICA</x:v>
      </x:c>
      <x:c r="M45" s="67" t="str">
        <x:v>https://ted.europa.eu/en/notice/-/detail/576256-2026</x:v>
      </x:c>
      <x:c r="N45" s="68" t="str">
        <x:v>AI-assisted draft</x:v>
      </x:c>
      <x:c r="O45" s="70" t="str"/>
      <x:c r="P45" s="66" t="str">
        <x:v>Needs human review</x:v>
      </x:c>
    </x:row>
    <x:row r="46" ht="84" customHeight="1">
      <x:c r="A46" s="66" t="str">
        <x:v>R1-045</x:v>
      </x:c>
      <x:c r="B46" s="66" t="str">
        <x:v>562926-2026</x:v>
      </x:c>
      <x:c r="C46" s="66" t="str">
        <x:v>ITA</x:v>
      </x:c>
      <x:c r="D46" s="68" t="str">
        <x:v>Not relevant</x:v>
      </x:c>
      <x:c r="E46" s="68" t="str">
        <x:v>High</x:v>
      </x:c>
      <x:c r="F46" s="69" t="str">
        <x:v>The contract concerns hardware used to view and report diagnostic images.</x:v>
      </x:c>
      <x:c r="G46" s="67" t="str">
        <x:v>2026-08-13</x:v>
      </x:c>
      <x:c r="H46" s="67" t="str">
        <x:v>FONDAZIONE IRCCS CA' GRANDA OSPEDALE MAGGIORE POLICLINICO</x:v>
      </x:c>
      <x:c r="I46" s="67" t="str">
        <x:v>Computing equipment and supplies</x:v>
      </x:c>
      <x:c r="J46" s="67" t="str">
        <x:v>Italy – Data-processing machines (hardware) – PROCEDURA APERTA, AI SENSI DELL’ART. 71 DEL D.LGS. 36/2023, PER L’AFFIDAMENTO DI UN SERVIZIO DI NOLEGGIO, ASSISTENZA TECNICA E MANUTENZIONE DELLE COMPONENTI HARDWARE PER LA REFERTAZIONE E CONSULTAZIONE DELLE IMMAGINI DIAGNOSTICHE</x:v>
      </x:c>
      <x:c r="K46" s="67" t="str">
        <x:v>30210000</x:v>
      </x:c>
      <x:c r="L46" s="67" t="str">
        <x:v>PROCEDURA APERTA, AI SENSI DELL’ART. 71 DEL D.LGS. 36/2023, PER L’AFFIDAMENTO DI UN SERVIZIO DI NOLEGGIO, ASSISTENZA TECNICA E MANUTENZIONE DELLE COMPONENTI HARDWARE PER LA REFERTAZIONE E CONSULTAZIONE DELLE IMMAGINI DIAGNOSTICHE PROCEDURA APERTA, AI SENSI DELL’ART. 71 DEL D.LGS. 36/2023, PER L’AFFIDAMENTO DI UN SERVIZIO DI NOLEGGIO, ASSISTENZA TEC</x:v>
      </x:c>
      <x:c r="M46" s="67" t="str">
        <x:v>https://ted.europa.eu/en/notice/-/detail/562926-2026</x:v>
      </x:c>
      <x:c r="N46" s="68" t="str">
        <x:v>AI-assisted draft</x:v>
      </x:c>
      <x:c r="O46" s="70" t="str"/>
      <x:c r="P46" s="66" t="str">
        <x:v>Draft complete</x:v>
      </x:c>
    </x:row>
    <x:row r="47" ht="84" customHeight="1">
      <x:c r="A47" s="66" t="str">
        <x:v>R1-046</x:v>
      </x:c>
      <x:c r="B47" s="66" t="str">
        <x:v>834721-2025</x:v>
      </x:c>
      <x:c r="C47" s="66" t="str">
        <x:v>ITA</x:v>
      </x:c>
      <x:c r="D47" s="68" t="str">
        <x:v>Not relevant</x:v>
      </x:c>
      <x:c r="E47" s="68" t="str">
        <x:v>Medium</x:v>
      </x:c>
      <x:c r="F47" s="69" t="str">
        <x:v>The main service is administrative processing, printing and case-management software for fines.</x:v>
      </x:c>
      <x:c r="G47" s="67" t="str">
        <x:v>2025-12-16</x:v>
      </x:c>
      <x:c r="H47" s="67" t="str">
        <x:v>Comune di Rimini</x:v>
      </x:c>
      <x:c r="I47" s="67" t="str">
        <x:v>IT services</x:v>
      </x:c>
      <x:c r="J47" s="67" t="str">
        <x:v>Italy – Data services – affidamento del servizio di gestione, elaborazione e stampa degli atti relativi alle violazioni alle norme del Codice della strada accertate a carico dei veicoli e/o trasgressori e/o obbligati in solido aventi residenza o sede in Italia; alle violazioni ai Regolamenti comunali, e a tutte le violazioni previste dalle vigenti normative, derivanti dallattività della Polizia Locale; la fornitura del r</x:v>
      </x:c>
      <x:c r="K47" s="67" t="str">
        <x:v>72300000</x:v>
      </x:c>
      <x:c r="L47" s="67" t="str">
        <x:v>affidamento del servizio di gestione, elaborazione e stampa degli atti relativi alle violazioni alle norme del Codice della strada accertate a carico dei veicoli e/o trasgressori e/o obbligati in solido aventi residenza o sede in Italia; alle violazioni ai Regolamenti comunali, e a tutte le violazioni previste dalle vigenti normative, derivanti dal</x:v>
      </x:c>
      <x:c r="M47" s="67" t="str">
        <x:v>https://ted.europa.eu/en/notice/-/detail/834721-2025</x:v>
      </x:c>
      <x:c r="N47" s="68" t="str">
        <x:v>AI-assisted draft</x:v>
      </x:c>
      <x:c r="O47" s="70" t="str"/>
      <x:c r="P47" s="66" t="str">
        <x:v>Needs human review</x:v>
      </x:c>
    </x:row>
    <x:row r="48" ht="84" customHeight="1">
      <x:c r="A48" s="66" t="str">
        <x:v>R1-047</x:v>
      </x:c>
      <x:c r="B48" s="66" t="str">
        <x:v>226747-2026</x:v>
      </x:c>
      <x:c r="C48" s="66" t="str">
        <x:v>ITA</x:v>
      </x:c>
      <x:c r="D48" s="68" t="str">
        <x:v>Not relevant</x:v>
      </x:c>
      <x:c r="E48" s="68" t="str">
        <x:v>Medium</x:v>
      </x:c>
      <x:c r="F48" s="69" t="str">
        <x:v>The scope is traffic-fine case administration, collection and supporting software.</x:v>
      </x:c>
      <x:c r="G48" s="67" t="str">
        <x:v>2026-04-02</x:v>
      </x:c>
      <x:c r="H48" s="67" t="str">
        <x:v>Comune di Massafra</x:v>
      </x:c>
      <x:c r="I48" s="67" t="str">
        <x:v>IT services</x:v>
      </x:c>
      <x:c r="J48" s="67" t="str">
        <x:v>Italy – Data management services – GARA EUROPEA A PROCEDURA APERTA PER L’AFFIDAMENTO DEL SERVIZIO DI GESTIONE DELLE INFRAZIONI AL CODICE DELLA STRADA E DELLA RISCOSSIONE COATTIVA DELLE SANZIONI NON OBLATE.</x:v>
      </x:c>
      <x:c r="K48" s="67" t="str">
        <x:v>72322000, 79940000</x:v>
      </x:c>
      <x:c r="L48" s="67" t="str">
        <x:v>GARA EUROPEA A PROCEDURA APERTA PER L’AFFIDAMENTO DEL SERVIZIO DI GESTIONE DELLE INFRAZIONI AL CODICE DELLA STRADA E DELLA RISCOSSIONE COATTIVA DELLE SANZIONI NON OBLATE. Fornitura del software di gestione del ciclo sanzionatorio; Servizio di gestione sussidiaria dei procedimenti sanzionatori previsti dal Codice della Strada (Data Entry, front-offi</x:v>
      </x:c>
      <x:c r="M48" s="67" t="str">
        <x:v>https://ted.europa.eu/en/notice/-/detail/226747-2026</x:v>
      </x:c>
      <x:c r="N48" s="68" t="str">
        <x:v>AI-assisted draft</x:v>
      </x:c>
      <x:c r="O48" s="70" t="str"/>
      <x:c r="P48" s="66" t="str">
        <x:v>Needs human review</x:v>
      </x:c>
    </x:row>
    <x:row r="49" ht="84" customHeight="1">
      <x:c r="A49" s="66" t="str">
        <x:v>R1-048</x:v>
      </x:c>
      <x:c r="B49" s="66" t="str">
        <x:v>767614-2025</x:v>
      </x:c>
      <x:c r="C49" s="66" t="str">
        <x:v>FIN</x:v>
      </x:c>
      <x:c r="D49" s="68" t="str">
        <x:v>Not relevant</x:v>
      </x:c>
      <x:c r="E49" s="68" t="str">
        <x:v>High</x:v>
      </x:c>
      <x:c r="F49" s="69" t="str">
        <x:v>The notice procures cybersecurity, privacy and audit consultancy.</x:v>
      </x:c>
      <x:c r="G49" s="67" t="str">
        <x:v>2025-11-19</x:v>
      </x:c>
      <x:c r="H49" s="67" t="str">
        <x:v>Väylävirasto</x:v>
      </x:c>
      <x:c r="I49" s="67" t="str">
        <x:v>IT services</x:v>
      </x:c>
      <x:c r="J49" s="67" t="str">
        <x:v>Finland – IT services: consulting, software development, Internet and support – Kutsu markkinavuoropuheluun: Tietoturvan ja tietosuojan asiantuntijapalvelut sekä tietoturvallisuuden arviointilaitosten arviointipalvelut</x:v>
      </x:c>
      <x:c r="K49" s="67" t="str">
        <x:v>72000000, 79000000</x:v>
      </x:c>
      <x:c r="L49" s="67" t="str">
        <x:v>MARKKINAVUOROPUHELU Markkinavuoropuhelun kohteena ovat valmistelussa olevat Tietoturvan ja tietosuojan asiantuntijapalvelut sekä tietoturvallisuuden arviointilaitosten arviointipalvelut Väyläviraston tarpeisiin. TAUSTAA JA TAVOITTEET Väylävirasto kilpailuttaa seuraavat kaksi asiantuntijapalveluhankintaa: Tietoturvan ja tietosuojan asiantuntijapalve</x:v>
      </x:c>
      <x:c r="M49" s="67" t="str">
        <x:v>https://ted.europa.eu/en/notice/-/detail/767614-2025</x:v>
      </x:c>
      <x:c r="N49" s="68" t="str">
        <x:v>AI-assisted draft</x:v>
      </x:c>
      <x:c r="O49" s="70" t="str"/>
      <x:c r="P49" s="66" t="str">
        <x:v>Draft complete</x:v>
      </x:c>
    </x:row>
    <x:row r="50" ht="84" customHeight="1">
      <x:c r="A50" s="66" t="str">
        <x:v>R1-049</x:v>
      </x:c>
      <x:c r="B50" s="66" t="str">
        <x:v>700516-2023</x:v>
      </x:c>
      <x:c r="C50" s="66" t="str">
        <x:v>BEL</x:v>
      </x:c>
      <x:c r="D50" s="68" t="str">
        <x:v>Not relevant</x:v>
      </x:c>
      <x:c r="E50" s="68" t="str">
        <x:v>High</x:v>
      </x:c>
      <x:c r="F50" s="69" t="str">
        <x:v>The scope is LAN, WLAN, Wi-Fi equipment and network support.</x:v>
      </x:c>
      <x:c r="G50" s="67" t="str">
        <x:v>2023-11-17</x:v>
      </x:c>
      <x:c r="H50" s="67" t="str">
        <x:v>Brussels Airport Company nv</x:v>
      </x:c>
      <x:c r="I50" s="67" t="str">
        <x:v>IT services</x:v>
      </x:c>
      <x:c r="J50" s="67" t="str">
        <x:v>Belgium – Data network management and support services – Vernieuwen van het ICT-netwerk</x:v>
      </x:c>
      <x:c r="K50" s="67" t="str">
        <x:v>72315000, 32420000, 72000000</x:v>
      </x:c>
      <x:c r="L50" s="67" t="str">
        <x:v>BAC wenst haar ICT-netwerk voor intern gebruik te vernieuwen. Deze bestaat uit de levering, onderhoud en ondersteuning van de LAN- en WLAN-infrastructuur en voorziet BAC van de bekabelde en WIFI-connectiviteit . De Wi-Fi-infrastructuur wordt ook gebruikt door het publiek (passagiers) in de terminal. Deze diensten zijn van cruciaal belang voor de ve</x:v>
      </x:c>
      <x:c r="M50" s="67" t="str">
        <x:v>https://ted.europa.eu/en/notice/-/detail/700516-2023</x:v>
      </x:c>
      <x:c r="N50" s="68" t="str">
        <x:v>AI-assisted draft</x:v>
      </x:c>
      <x:c r="O50" s="70" t="str"/>
      <x:c r="P50" s="66" t="str">
        <x:v>Draft complete</x:v>
      </x:c>
    </x:row>
    <x:row r="51" ht="84" customHeight="1">
      <x:c r="A51" s="66" t="str">
        <x:v>R1-050</x:v>
      </x:c>
      <x:c r="B51" s="66" t="str">
        <x:v>403527-2025</x:v>
      </x:c>
      <x:c r="C51" s="66" t="str">
        <x:v>FIN</x:v>
      </x:c>
      <x:c r="D51" s="68" t="str">
        <x:v>Not relevant</x:v>
      </x:c>
      <x:c r="E51" s="68" t="str">
        <x:v>High</x:v>
      </x:c>
      <x:c r="F51" s="69" t="str">
        <x:v>The project is industrial automation and robotics for a production line.</x:v>
      </x:c>
      <x:c r="G51" s="67" t="str">
        <x:v>2025-06-24</x:v>
      </x:c>
      <x:c r="H51" s="67" t="str">
        <x:v>Puolustusvoimien logistiikkalaitos</x:v>
      </x:c>
      <x:c r="I51" s="67" t="str">
        <x:v>Software packages and information systems</x:v>
      </x:c>
      <x:c r="J51" s="67" t="str">
        <x:v>Finland – Conveyors – Osallistumishakemuspyyntö: Haapajärvi: Lataamokehityshankinta</x:v>
      </x:c>
      <x:c r="K51" s="67" t="str">
        <x:v>42417200, 42132130, 42923000, 42997300, 48000000, 48921000</x:v>
      </x:c>
      <x:c r="L51" s="67" t="str">
        <x:v>Puolustusvoimien logistiikkalaitos (jäljempänä hankintayksikkö) pyytää osallistumishakemustanne Haapajärven tuotannon kehittämishankintaan Puolustusvoimille tämän osallistumishakemuspyynnön ja sen liitteiden mukaisesti. Hankinnan kohde: Räjähdekeskuksen Haapajärvellä tuotantoalueella sijaitseva suunnittelu ja kehittämiskohde Päätehtävät ovat: Hanki</x:v>
      </x:c>
      <x:c r="M51" s="67" t="str">
        <x:v>https://ted.europa.eu/en/notice/-/detail/403527-2025</x:v>
      </x:c>
      <x:c r="N51" s="68" t="str">
        <x:v>AI-assisted draft</x:v>
      </x:c>
      <x:c r="O51" s="70" t="str"/>
      <x:c r="P51" s="66" t="str">
        <x:v>Draft complete</x:v>
      </x:c>
    </x:row>
    <x:row r="52" ht="84" customHeight="1">
      <x:c r="A52" s="66" t="str">
        <x:v>R1-051</x:v>
      </x:c>
      <x:c r="B52" s="66" t="str">
        <x:v>94090-2026</x:v>
      </x:c>
      <x:c r="C52" s="66" t="str">
        <x:v>ITA</x:v>
      </x:c>
      <x:c r="D52" s="68" t="str">
        <x:v>Not relevant</x:v>
      </x:c>
      <x:c r="E52" s="68" t="str">
        <x:v>High</x:v>
      </x:c>
      <x:c r="F52" s="69" t="str">
        <x:v>The procurement concerns regional optical-network connectivity.</x:v>
      </x:c>
      <x:c r="G52" s="67" t="str">
        <x:v>2026-02-10</x:v>
      </x:c>
      <x:c r="H52" s="67" t="str">
        <x:v>Liguria Digitale S.p.A.</x:v>
      </x:c>
      <x:c r="I52" s="67" t="str">
        <x:v>IT services</x:v>
      </x:c>
      <x:c r="J52" s="67" t="str">
        <x:v>Italy – Wide area network services – Gara europea a procedura aperta indetta ai sensi del D.lgs. 36/2023 per l’affidamento dei servizi per l’infrastruttura ottica di Regione Liguria denominata RG-LNET</x:v>
      </x:c>
      <x:c r="K52" s="67" t="str">
        <x:v>72720000</x:v>
      </x:c>
      <x:c r="L52" s="67" t="str">
        <x:v>Gara europea a procedura aperta indetta ai sensi del D.lgs. 36/2023 per l’affidamento dei servizi per l’infrastruttura ottica di Regione Liguria denominata RG-LNET Gara europea a procedura aperta indetta ai sensi del D.lgs. 36/2023 per l’affidamento dei servizi per l’infrastruttura ottica di Regione Liguria denominata RG-LNET</x:v>
      </x:c>
      <x:c r="M52" s="67" t="str">
        <x:v>https://ted.europa.eu/en/notice/-/detail/94090-2026</x:v>
      </x:c>
      <x:c r="N52" s="68" t="str">
        <x:v>AI-assisted draft</x:v>
      </x:c>
      <x:c r="O52" s="70" t="str"/>
      <x:c r="P52" s="66" t="str">
        <x:v>Draft complete</x:v>
      </x:c>
    </x:row>
    <x:row r="53" ht="84" customHeight="1">
      <x:c r="A53" s="66" t="str">
        <x:v>R1-052</x:v>
      </x:c>
      <x:c r="B53" s="66" t="str">
        <x:v>559482-2026</x:v>
      </x:c>
      <x:c r="C53" s="66" t="str">
        <x:v>ITA</x:v>
      </x:c>
      <x:c r="D53" s="68" t="str">
        <x:v>Relevant</x:v>
      </x:c>
      <x:c r="E53" s="68" t="str">
        <x:v>High</x:v>
      </x:c>
      <x:c r="F53" s="69" t="str">
        <x:v>The scope combines field sensors, a monitoring platform and data-lake integrations.</x:v>
      </x:c>
      <x:c r="G53" s="67" t="str">
        <x:v>2026-08-12</x:v>
      </x:c>
      <x:c r="H53" s="67" t="str">
        <x:v>Brescia Mobilità S.p.A.</x:v>
      </x:c>
      <x:c r="I53" s="67" t="str">
        <x:v>IT services</x:v>
      </x:c>
      <x:c r="J53" s="67" t="str">
        <x:v>Italy – Sensors – PROCEDURA APERTA PER L’AFFIDAMENTO DELLA FORNITURA DI SENSORI DI CAMPO, CON POSA, PER LA RILEVAZIONE E IL MONITORAGGIO DELLA SOSTA CITTADINA SU STRADA E FORNITURA DI RELATIVO SISTEMA DI GESTIONE NELL’AMBITO DEL PROGETTO “BE SMILE BRESCIA EVOLUTED SMART MOBILITY SYSTEM WITH INTEGRATED DATA LAKE*COMUNE DI BRESCIA*SISTEMI INFORMATICI E ATTREZZATURE TECNOLOGICHE PER LA MOBILITÀ”</x:v>
      </x:c>
      <x:c r="K53" s="67" t="str">
        <x:v>35125100, 30211300, 72220000</x:v>
      </x:c>
      <x:c r="L53" s="67" t="str">
        <x:v>Brescia Mobilità S.p.A. ha determinato di indire congiuntamente, per conto proprio e del Comune di Brescia, una procedura di gara aperta, ai sensi dell’art. 71 del D.lgs. 36/2023 per l’affidamento della fornitura e posa dei Sensori e del relativo sistema di monitoraggio, comprensiva delle prestazioni accessorie di supporto tecnico specialistico L’A</x:v>
      </x:c>
      <x:c r="M53" s="67" t="str">
        <x:v>https://ted.europa.eu/en/notice/-/detail/559482-2026</x:v>
      </x:c>
      <x:c r="N53" s="68" t="str">
        <x:v>AI-assisted draft</x:v>
      </x:c>
      <x:c r="O53" s="70" t="str"/>
      <x:c r="P53" s="66" t="str">
        <x:v>Draft complete</x:v>
      </x:c>
    </x:row>
    <x:row r="54" ht="84" customHeight="1">
      <x:c r="A54" s="66" t="str">
        <x:v>R1-053</x:v>
      </x:c>
      <x:c r="B54" s="66" t="str">
        <x:v>75831-2024</x:v>
      </x:c>
      <x:c r="C54" s="66" t="str">
        <x:v>BEL</x:v>
      </x:c>
      <x:c r="D54" s="68" t="str">
        <x:v>Not relevant</x:v>
      </x:c>
      <x:c r="E54" s="68" t="str">
        <x:v>High</x:v>
      </x:c>
      <x:c r="F54" s="69" t="str">
        <x:v>The framework supplies personal computers, displays, accessories and printers.</x:v>
      </x:c>
      <x:c r="G54" s="67" t="str">
        <x:v>2024-02-05</x:v>
      </x:c>
      <x:c r="H54" s="67" t="str">
        <x:v>Centre Hospitalier Bois de l'Abbaye</x:v>
      </x:c>
      <x:c r="I54" s="67" t="str">
        <x:v>Computing equipment and supplies</x:v>
      </x:c>
      <x:c r="J54" s="67" t="str">
        <x:v>Belgium – Computer-related equipment – Fourniture de matériel informatique</x:v>
      </x:c>
      <x:c r="K54" s="67" t="str">
        <x:v>30230000</x:v>
      </x:c>
      <x:c r="L54" s="67" t="str">
        <x:v>Il s'agit d'un marché de fournitures passé sous forme d’accord-cadre relatif à la fourniture de matériel informatique, en ce compris la fourniture d’ordinateurs personnels, d’écrans, d’accessoires (souris, claviers,…) et d’imprimantes pour les PAB. Lot 1 : Ordinateurs personnels Lot 2 : Ecrans pour ordinateur personnel Lot 3 : Accessoires pour ordi</x:v>
      </x:c>
      <x:c r="M54" s="67" t="str">
        <x:v>https://ted.europa.eu/en/notice/-/detail/75831-2024</x:v>
      </x:c>
      <x:c r="N54" s="68" t="str">
        <x:v>AI-assisted draft</x:v>
      </x:c>
      <x:c r="O54" s="70" t="str"/>
      <x:c r="P54" s="66" t="str">
        <x:v>Draft complete</x:v>
      </x:c>
    </x:row>
    <x:row r="55" ht="84" customHeight="1">
      <x:c r="A55" s="66" t="str">
        <x:v>R1-054</x:v>
      </x:c>
      <x:c r="B55" s="66" t="str">
        <x:v>594826-2024</x:v>
      </x:c>
      <x:c r="C55" s="66" t="str">
        <x:v>FIN</x:v>
      </x:c>
      <x:c r="D55" s="68" t="str">
        <x:v>Relevant</x:v>
      </x:c>
      <x:c r="E55" s="68" t="str">
        <x:v>High</x:v>
      </x:c>
      <x:c r="F55" s="69" t="str">
        <x:v>A permanent digital archive, data migration and application integrations are central.</x:v>
      </x:c>
      <x:c r="G55" s="67" t="str">
        <x:v>2024-10-03</x:v>
      </x:c>
      <x:c r="H55" s="67" t="str">
        <x:v>Vantaan ja Keravan hyvinvointialue</x:v>
      </x:c>
      <x:c r="I55" s="67" t="str">
        <x:v>IT services</x:v>
      </x:c>
      <x:c r="J55" s="67" t="str">
        <x:v>Finland – IT services: consulting, software development, Internet and support – ENNAKKOILMOITUS: Vantaan ja Keravan hyvinvointialueen sähköisen pysyväisarkistointiratkaisun hankinta</x:v>
      </x:c>
      <x:c r="K55" s="67" t="str">
        <x:v>72000000</x:v>
      </x:c>
      <x:c r="L55" s="67" t="str">
        <x:v>Vantaan ja Keravan hyvinvointialue kilpailuttaa Sähköisen pysyväisarkiston hankinnan SaaS (Software as a Service) -palveluna liitteenä olevien vaatimusmäärityksien ja muiden liitteiden mukaisesti. Palvelu tulee olla integroitavissa mm. AD:n, tiedonnohjausjärjestelmään (TOS:iin) sekä muihin liitteissä ilmoitettuihin sovelluksiin. Migraatio tulee suo</x:v>
      </x:c>
      <x:c r="M55" s="67" t="str">
        <x:v>https://ted.europa.eu/en/notice/-/detail/594826-2024</x:v>
      </x:c>
      <x:c r="N55" s="68" t="str">
        <x:v>AI-assisted draft</x:v>
      </x:c>
      <x:c r="O55" s="70" t="str"/>
      <x:c r="P55" s="66" t="str">
        <x:v>Draft complete</x:v>
      </x:c>
    </x:row>
    <x:row r="56" ht="84" customHeight="1">
      <x:c r="A56" s="66" t="str">
        <x:v>R1-055</x:v>
      </x:c>
      <x:c r="B56" s="66" t="str">
        <x:v>499005-2026</x:v>
      </x:c>
      <x:c r="C56" s="66" t="str">
        <x:v>ITA</x:v>
      </x:c>
      <x:c r="D56" s="68" t="str">
        <x:v>Not relevant</x:v>
      </x:c>
      <x:c r="E56" s="68" t="str">
        <x:v>High</x:v>
      </x:c>
      <x:c r="F56" s="69" t="str">
        <x:v>The notice seeks product-specific professional support without a data scope.</x:v>
      </x:c>
      <x:c r="G56" s="67" t="str">
        <x:v>2026-07-20</x:v>
      </x:c>
      <x:c r="H56" s="67" t="str">
        <x:v>Insiel Spa con socio unico Regione Autonoma Friuli Venezia Giulia</x:v>
      </x:c>
      <x:c r="I56" s="67" t="str">
        <x:v>IT services</x:v>
      </x:c>
      <x:c r="J56" s="67" t="str">
        <x:v>Italy – System and support services – ID 8329 - Consultazione preliminare di mercato per servizi professionali ad alta specializzazione sul prodotto Slim2k-Gesco</x:v>
      </x:c>
      <x:c r="K56" s="67" t="str">
        <x:v>72250000</x:v>
      </x:c>
      <x:c r="L56" s="67" t="str">
        <x:v>ID 8329 - Consultazione preliminare di mercato per servizi professionali ad alta specializzazione sul prodotto Slim2k-Gesco</x:v>
      </x:c>
      <x:c r="M56" s="67" t="str">
        <x:v>https://ted.europa.eu/en/notice/-/detail/499005-2026</x:v>
      </x:c>
      <x:c r="N56" s="68" t="str">
        <x:v>AI-assisted draft</x:v>
      </x:c>
      <x:c r="O56" s="70" t="str"/>
      <x:c r="P56" s="66" t="str">
        <x:v>Draft complete</x:v>
      </x:c>
    </x:row>
    <x:row r="57" ht="84" customHeight="1">
      <x:c r="A57" s="66" t="str">
        <x:v>R1-056</x:v>
      </x:c>
      <x:c r="B57" s="66" t="str">
        <x:v>527906-2026</x:v>
      </x:c>
      <x:c r="C57" s="66" t="str">
        <x:v>ITA</x:v>
      </x:c>
      <x:c r="D57" s="68" t="str">
        <x:v>Not relevant</x:v>
      </x:c>
      <x:c r="E57" s="68" t="str">
        <x:v>High</x:v>
      </x:c>
      <x:c r="F57" s="69" t="str">
        <x:v>The contract is limited to manual data entry and postal processing.</x:v>
      </x:c>
      <x:c r="G57" s="67" t="str">
        <x:v>2026-07-30</x:v>
      </x:c>
      <x:c r="H57" s="67" t="str">
        <x:v>IN.VA. S.P.A.</x:v>
      </x:c>
      <x:c r="I57" s="67" t="str">
        <x:v>IT services</x:v>
      </x:c>
      <x:c r="J57" s="67" t="str">
        <x:v>Italy – Data management services – Aosta - Data entry e postalizzazione</x:v>
      </x:c>
      <x:c r="K57" s="67" t="str">
        <x:v>72322000</x:v>
      </x:c>
      <x:c r="L57" s="67" t="str">
        <x:v>PROCEDURA TELEMATICA APERTA PER L'AFFIDAMENTO DEL SERVIZIO DI DATA ENTRY E POSTALIZZAZIONE DELLE SANZIONI AMMINISTRATIVE PER IL COMUNE DI AOSTA Servizio di data entry e postalizzazione</x:v>
      </x:c>
      <x:c r="M57" s="67" t="str">
        <x:v>https://ted.europa.eu/en/notice/-/detail/527906-2026</x:v>
      </x:c>
      <x:c r="N57" s="68" t="str">
        <x:v>AI-assisted draft</x:v>
      </x:c>
      <x:c r="O57" s="70" t="str"/>
      <x:c r="P57" s="66" t="str">
        <x:v>Draft complete</x:v>
      </x:c>
    </x:row>
    <x:row r="58" ht="84" customHeight="1">
      <x:c r="A58" s="66" t="str">
        <x:v>R1-057</x:v>
      </x:c>
      <x:c r="B58" s="66" t="str">
        <x:v>87519-2026</x:v>
      </x:c>
      <x:c r="C58" s="66" t="str">
        <x:v>ITA</x:v>
      </x:c>
      <x:c r="D58" s="68" t="str">
        <x:v>Relevant</x:v>
      </x:c>
      <x:c r="E58" s="68" t="str">
        <x:v>Medium</x:v>
      </x:c>
      <x:c r="F58" s="69" t="str">
        <x:v>Compliant long-term digital preservation is a material part of the system contract.</x:v>
      </x:c>
      <x:c r="G58" s="67" t="str">
        <x:v>2026-02-06</x:v>
      </x:c>
      <x:c r="H58" s="67" t="str">
        <x:v>A.s.R. Molise Acque</x:v>
      </x:c>
      <x:c r="I58" s="67" t="str">
        <x:v>IT services</x:v>
      </x:c>
      <x:c r="J58" s="67" t="str">
        <x:v>Italy – Computer-related services – FORNITURA DI UN SISTEMA INFORMATIVO GESTIONALE E RELATIVA MANUTENZIONE E DEL SERVIZIO DI CONSERVAZIONE DIGITALE A NORMA DEI DOCUMENTI INFORMATICI</x:v>
      </x:c>
      <x:c r="K58" s="67" t="str">
        <x:v>72500000</x:v>
      </x:c>
      <x:c r="L58" s="67" t="str">
        <x:v>SISTEMA INFORMATIVO GESTIONALE E RELATIVA MANUTENZIONE E DEL SERVIZIO DI CONSERVAZIONE DIGITALE A NORMA DEI DOCUMENTI INFORMATICI FORNITURA DI UN SISTEMA INFORMATIVO GESTIONALE E RELATIVA MANUTENZIONE E DEL SERVIZIO DI CONSERVAZIONE DIGITALE A NORMA DEI DOCUMENTI INFORMATICI</x:v>
      </x:c>
      <x:c r="M58" s="67" t="str">
        <x:v>https://ted.europa.eu/en/notice/-/detail/87519-2026</x:v>
      </x:c>
      <x:c r="N58" s="68" t="str">
        <x:v>AI-assisted draft</x:v>
      </x:c>
      <x:c r="O58" s="70" t="str"/>
      <x:c r="P58" s="66" t="str">
        <x:v>Needs human review</x:v>
      </x:c>
    </x:row>
    <x:row r="59" ht="84" customHeight="1">
      <x:c r="A59" s="66" t="str">
        <x:v>R1-058</x:v>
      </x:c>
      <x:c r="B59" s="66" t="str">
        <x:v>23207-2025</x:v>
      </x:c>
      <x:c r="C59" s="66" t="str">
        <x:v>FIN</x:v>
      </x:c>
      <x:c r="D59" s="68" t="str">
        <x:v>Not relevant</x:v>
      </x:c>
      <x:c r="E59" s="68" t="str">
        <x:v>High</x:v>
      </x:c>
      <x:c r="F59" s="69" t="str">
        <x:v>The notice supplies generic engineering server hardware for substations.</x:v>
      </x:c>
      <x:c r="G59" s="67" t="str">
        <x:v>2025-01-14</x:v>
      </x:c>
      <x:c r="H59" s="67" t="str">
        <x:v>Fingrid Oyj</x:v>
      </x:c>
      <x:c r="I59" s="67" t="str">
        <x:v>Software packages and information systems</x:v>
      </x:c>
      <x:c r="J59" s="67" t="str">
        <x:v>Finland – Computer servers – Request for Participation: Engineering Servers for Fingrid Substations</x:v>
      </x:c>
      <x:c r="K59" s="67" t="str">
        <x:v>48822000</x:v>
      </x:c>
      <x:c r="L59" s="67" t="str">
        <x:v>This procurement covers supply and delivery of engineering servers for Fingrid substations. The servers must meet the following hardware requirements: • IEC 61850-3 certified • 64Gb RAM • M.2 SSD slot • 1Tb storage capacity on minimum 2x 2.5” SATA SSD slots with RAID 1 configuration • Minimum 4x RJ45 ports • An option for a SFP-based fiber optic PC</x:v>
      </x:c>
      <x:c r="M59" s="67" t="str">
        <x:v>https://ted.europa.eu/en/notice/-/detail/23207-2025</x:v>
      </x:c>
      <x:c r="N59" s="68" t="str">
        <x:v>AI-assisted draft</x:v>
      </x:c>
      <x:c r="O59" s="70" t="str"/>
      <x:c r="P59" s="66" t="str">
        <x:v>Draft complete</x:v>
      </x:c>
    </x:row>
    <x:row r="60" ht="84" customHeight="1">
      <x:c r="A60" s="66" t="str">
        <x:v>R1-059</x:v>
      </x:c>
      <x:c r="B60" s="66" t="str">
        <x:v>474594-2026</x:v>
      </x:c>
      <x:c r="C60" s="66" t="str">
        <x:v>BEL</x:v>
      </x:c>
      <x:c r="D60" s="68" t="str">
        <x:v>Not relevant</x:v>
      </x:c>
      <x:c r="E60" s="68" t="str">
        <x:v>High</x:v>
      </x:c>
      <x:c r="F60" s="69" t="str">
        <x:v>The framework supplies Apple laptops, desktops, tablets and accessories.</x:v>
      </x:c>
      <x:c r="G60" s="67" t="str">
        <x:v>2026-07-09</x:v>
      </x:c>
      <x:c r="H60" s="67" t="str">
        <x:v>PROVINCE DU HAINAUT, OFFICE CENTRAL DES ACHATS</x:v>
      </x:c>
      <x:c r="I60" s="67" t="str">
        <x:v>Computing equipment and supplies</x:v>
      </x:c>
      <x:c r="J60" s="67" t="str">
        <x:v>Belgium – Computer-related equipment – Fourniture de matériel de marque Apple et accessoires correspondants.</x:v>
      </x:c>
      <x:c r="K60" s="67" t="str">
        <x:v>30230000</x:v>
      </x:c>
      <x:c r="L60" s="67" t="str">
        <x:v>Fourniture de matériel de marque Apple et accessoires correspondants. Tablettes et accessoires correspondants Ordinateurs portables et ordinateurs de bureau et accessoires correspondants</x:v>
      </x:c>
      <x:c r="M60" s="67" t="str">
        <x:v>https://ted.europa.eu/en/notice/-/detail/474594-2026</x:v>
      </x:c>
      <x:c r="N60" s="68" t="str">
        <x:v>AI-assisted draft</x:v>
      </x:c>
      <x:c r="O60" s="70" t="str"/>
      <x:c r="P60" s="66" t="str">
        <x:v>Draft complete</x:v>
      </x:c>
    </x:row>
    <x:row r="61" ht="84" customHeight="1">
      <x:c r="A61" s="66" t="str">
        <x:v>R1-060</x:v>
      </x:c>
      <x:c r="B61" s="66" t="str">
        <x:v>657992-2023</x:v>
      </x:c>
      <x:c r="C61" s="66" t="str">
        <x:v>ITA</x:v>
      </x:c>
      <x:c r="D61" s="68" t="str">
        <x:v>Not relevant</x:v>
      </x:c>
      <x:c r="E61" s="68" t="str">
        <x:v>High</x:v>
      </x:c>
      <x:c r="F61" s="69" t="str">
        <x:v>The main scope is municipal tax administration supported by a generic web application.</x:v>
      </x:c>
      <x:c r="G61" s="67" t="str">
        <x:v>2023-10-27</x:v>
      </x:c>
      <x:c r="H61" s="67" t="str">
        <x:v>Comune di Altamura</x:v>
      </x:c>
      <x:c r="I61" s="67" t="str">
        <x:v>IT services</x:v>
      </x:c>
      <x:c r="J61" s="67" t="str">
        <x:v>Italy – Computer-related management services – SERVIZIO DI SUPPORTO ALLA GESTIONE DIRETTA DELLE FASI DI ACCERTAMENTO, LIQUIDAZIONE E RISCOSSIONE ORDINARIA E COATTIVA DELLE ENTRATE TRIBUTARIE ED EXTRATRIBUTARIE DELL’ENTE TRAMITE UNA ARCHITETTURA INFORMATICA INTEGRATA</x:v>
      </x:c>
      <x:c r="K61" s="67" t="str">
        <x:v>72510000, 72210000</x:v>
      </x:c>
      <x:c r="L61" s="67" t="str">
        <x:v>Con deliberazione a contrattare n. 1480 del 18/09/2023, come rettificata dalla determinazione n. 1680 del 16/10/2023,questa Amministrazione ha deciso di affidare il servizio di supporto alla gestione diretta delle fasi di accertamento, liquidazione e riscossione ordinaria e coattiva delle entrate tributarie ed extratributarie dell’Ente, tramite un’</x:v>
      </x:c>
      <x:c r="M61" s="67" t="str">
        <x:v>https://ted.europa.eu/en/notice/-/detail/657992-2023</x:v>
      </x:c>
      <x:c r="N61" s="68" t="str">
        <x:v>AI-assisted draft</x:v>
      </x:c>
      <x:c r="O61" s="70" t="str"/>
      <x:c r="P61" s="66" t="str">
        <x:v>Draft complete</x:v>
      </x:c>
    </x:row>
    <x:row r="62" ht="84" customHeight="1">
      <x:c r="A62" s="66" t="str">
        <x:v>R1-061</x:v>
      </x:c>
      <x:c r="B62" s="66" t="str">
        <x:v>50050-2026</x:v>
      </x:c>
      <x:c r="C62" s="66" t="str">
        <x:v>FIN</x:v>
      </x:c>
      <x:c r="D62" s="68" t="str">
        <x:v>Not relevant</x:v>
      </x:c>
      <x:c r="E62" s="68" t="str">
        <x:v>High</x:v>
      </x:c>
      <x:c r="F62" s="69" t="str">
        <x:v>The scope is closed-network and firewall connectivity services.</x:v>
      </x:c>
      <x:c r="G62" s="67" t="str">
        <x:v>2026-01-23</x:v>
      </x:c>
      <x:c r="H62" s="67" t="str">
        <x:v>Salon seudun koulutuskuntayhtymä</x:v>
      </x:c>
      <x:c r="I62" s="67" t="str">
        <x:v>IT services</x:v>
      </x:c>
      <x:c r="J62" s="67" t="str">
        <x:v>Finland – Wide area network services – SSKKY/5/02.08.01/2026 Salon seudun koulutuskuntayhtymän tietoliikenne- ja palomuuripalvelut</x:v>
      </x:c>
      <x:c r="K62" s="67" t="str">
        <x:v>72720000, 64210000, 72590000</x:v>
      </x:c>
      <x:c r="L62" s="67" t="str">
        <x:v>Hankintayksikkö, Salon seudun koulutuskuntayhtymä (jäljeljämpänä "Tilaaja"), pyytää tarjousta seuraavasta palvelukokonaisuudesta: suljettu tietoliikenneverkko, palomuuripalvelut sekä näihin liittyviä optioita. Toimittajan tulee tarjota kokonaisuutta. Osatarjouksia ei hyväksytä. Vaihtoehtoisia tarjouksia ei hyväksytä. Kyseisen kokonaisuuden tarkemma</x:v>
      </x:c>
      <x:c r="M62" s="67" t="str">
        <x:v>https://ted.europa.eu/en/notice/-/detail/50050-2026</x:v>
      </x:c>
      <x:c r="N62" s="68" t="str">
        <x:v>AI-assisted draft</x:v>
      </x:c>
      <x:c r="O62" s="70" t="str"/>
      <x:c r="P62" s="66" t="str">
        <x:v>Draft complete</x:v>
      </x:c>
    </x:row>
    <x:row r="63" ht="84" customHeight="1">
      <x:c r="A63" s="66" t="str">
        <x:v>R1-062</x:v>
      </x:c>
      <x:c r="B63" s="66" t="str">
        <x:v>110280-2025</x:v>
      </x:c>
      <x:c r="C63" s="66" t="str">
        <x:v>FIN</x:v>
      </x:c>
      <x:c r="D63" s="68" t="str">
        <x:v>Relevant</x:v>
      </x:c>
      <x:c r="E63" s="68" t="str">
        <x:v>Medium</x:v>
      </x:c>
      <x:c r="F63" s="69" t="str">
        <x:v>The data-center purchasing system materially covers storage and backup infrastructure.</x:v>
      </x:c>
      <x:c r="G63" s="67" t="str">
        <x:v>2025-02-19</x:v>
      </x:c>
      <x:c r="H63" s="67" t="str">
        <x:v>Hansel Oy</x:v>
      </x:c>
      <x:c r="I63" s="67" t="str">
        <x:v>Software packages and information systems</x:v>
      </x:c>
      <x:c r="J63" s="67" t="str">
        <x:v>Finland – Computer-related equipment – Konesali-infrastruktuurilaitteet 2021-2025 (DPS)</x:v>
      </x:c>
      <x:c r="K63" s="67" t="str">
        <x:v>30230000, 30233000, 30234000, 32580000, 48000000, 48200000, 48210000, 48600000, 48700000, 48800000, 48810000, 48820000, 48821000, 48823000, 50300000, 50312000, 51600000, 72100000</x:v>
      </x:c>
      <x:c r="L63" s="67" t="str">
        <x:v>Dynaamisen hankintajärjestelmän (DPS) kohteena ovat konesali-infrastruktuurilaitteet (esim. palvelimet, tallennus-ja varmistuslaitteet, integroidut ratkaisut ja konesaliverkon laitteet) sekä niihin liittyvien lisätarvikkeiden ja palveluiden hankinta. DPS:n kohde on kuvattu tarkemmin osallistumispyynnössä ja sen liitteissä, erityisesti liitteissä "D</x:v>
      </x:c>
      <x:c r="M63" s="67" t="str">
        <x:v>https://ted.europa.eu/en/notice/-/detail/110280-2025</x:v>
      </x:c>
      <x:c r="N63" s="68" t="str">
        <x:v>AI-assisted draft</x:v>
      </x:c>
      <x:c r="O63" s="70" t="str"/>
      <x:c r="P63" s="66" t="str">
        <x:v>Needs human review</x:v>
      </x:c>
    </x:row>
    <x:row r="64" ht="84" customHeight="1">
      <x:c r="A64" s="66" t="str">
        <x:v>R1-063</x:v>
      </x:c>
      <x:c r="B64" s="66" t="str">
        <x:v>550158-2026</x:v>
      </x:c>
      <x:c r="C64" s="66" t="str">
        <x:v>BEL</x:v>
      </x:c>
      <x:c r="D64" s="68" t="str">
        <x:v>Not relevant</x:v>
      </x:c>
      <x:c r="E64" s="68" t="str">
        <x:v>High</x:v>
      </x:c>
      <x:c r="F64" s="69" t="str">
        <x:v>The procurement is a mobile-device leasing and support program.</x:v>
      </x:c>
      <x:c r="G64" s="67" t="str">
        <x:v>2026-08-07</x:v>
      </x:c>
      <x:c r="H64" s="67" t="str">
        <x:v>Partena-Mutualité Libre</x:v>
      </x:c>
      <x:c r="I64" s="67" t="str">
        <x:v>Computing equipment and supplies</x:v>
      </x:c>
      <x:c r="J64" s="67" t="str">
        <x:v>Belgium – GSM telephones – Mobile devices</x:v>
      </x:c>
      <x:c r="K64" s="67" t="str">
        <x:v>32252000, 30200000, 30213100, 32250000</x:v>
      </x:c>
      <x:c r="L64" s="67" t="str">
        <x:v>Le présent marché de fournitures a pour objet le leasing d’appareils mobiles destinés au personnel dans le cadre du plan cafétéria de Partenamut. Il comprend, entre autre : • La fourniture de smartphones, tablettes et PC portables ; • La gestion administrative complète du leasing (commandes, livraisons, facturation, etc.) ; • Les services associés </x:v>
      </x:c>
      <x:c r="M64" s="67" t="str">
        <x:v>https://ted.europa.eu/en/notice/-/detail/550158-2026</x:v>
      </x:c>
      <x:c r="N64" s="68" t="str">
        <x:v>AI-assisted draft</x:v>
      </x:c>
      <x:c r="O64" s="70" t="str"/>
      <x:c r="P64" s="66" t="str">
        <x:v>Draft complete</x:v>
      </x:c>
    </x:row>
    <x:row r="65" ht="84" customHeight="1">
      <x:c r="A65" s="66" t="str">
        <x:v>R1-064</x:v>
      </x:c>
      <x:c r="B65" s="66" t="str">
        <x:v>591638-2024</x:v>
      </x:c>
      <x:c r="C65" s="66" t="str">
        <x:v>FIN</x:v>
      </x:c>
      <x:c r="D65" s="68" t="str">
        <x:v>Relevant</x:v>
      </x:c>
      <x:c r="E65" s="68" t="str">
        <x:v>High</x:v>
      </x:c>
      <x:c r="F65" s="69" t="str">
        <x:v>Marketing-mix modelling, forecasting and optimization are the core SaaS functions.</x:v>
      </x:c>
      <x:c r="G65" s="67" t="str">
        <x:v>2024-10-02</x:v>
      </x:c>
      <x:c r="H65" s="67" t="str">
        <x:v>Veikkaus Oy</x:v>
      </x:c>
      <x:c r="I65" s="67" t="str">
        <x:v>IT services</x:v>
      </x:c>
      <x:c r="J65" s="67" t="str">
        <x:v>Finland – Data analysis services – Return On Marketing Investments (ROMI) modelling tool</x:v>
      </x:c>
      <x:c r="K65" s="67" t="str">
        <x:v>72316000</x:v>
      </x:c>
      <x:c r="L65" s="67" t="str">
        <x:v>Veikkaus Oy is acquiring Return On Marketing Investments (ROMI) modelling tool to analyze and optimize its marketing strategies and actions. We are looking for a ROMI modelling software, which can model, how the marketing investments on offline and online marketing channels affects gaming revenue and based on the modelling can forecast the optimal </x:v>
      </x:c>
      <x:c r="M65" s="67" t="str">
        <x:v>https://ted.europa.eu/en/notice/-/detail/591638-2024</x:v>
      </x:c>
      <x:c r="N65" s="68" t="str">
        <x:v>AI-assisted draft</x:v>
      </x:c>
      <x:c r="O65" s="70" t="str"/>
      <x:c r="P65" s="66" t="str">
        <x:v>Draft complete</x:v>
      </x:c>
    </x:row>
    <x:row r="66" ht="84" customHeight="1">
      <x:c r="A66" s="66" t="str">
        <x:v>R1-065</x:v>
      </x:c>
      <x:c r="B66" s="66" t="str">
        <x:v>412810-2024</x:v>
      </x:c>
      <x:c r="C66" s="66" t="str">
        <x:v>ITA</x:v>
      </x:c>
      <x:c r="D66" s="68" t="str">
        <x:v>Relevant</x:v>
      </x:c>
      <x:c r="E66" s="68" t="str">
        <x:v>Medium</x:v>
      </x:c>
      <x:c r="F66" s="69" t="str">
        <x:v>The maintained application is dedicated to acquiring and consolidating meter readings.</x:v>
      </x:c>
      <x:c r="G66" s="67" t="str">
        <x:v>2024-07-10</x:v>
      </x:c>
      <x:c r="H66" s="67" t="str">
        <x:v>Cap Holding S.p.A.</x:v>
      </x:c>
      <x:c r="I66" s="67" t="str">
        <x:v>IT services</x:v>
      </x:c>
      <x:c r="J66" s="67" t="str">
        <x:v>Italy – Computer support and consultancy services – Servizio Di Manutenzione dell’applicativo SUAL (Sistema Unico Acquisizione Letture) Di Gruppo Cap</x:v>
      </x:c>
      <x:c r="K66" s="67" t="str">
        <x:v>72600000</x:v>
      </x:c>
      <x:c r="L66" s="67" t="str">
        <x:v>Servizio Di Manutenzione dell’applicativo SUAL (Sistema Unico Acquisizione Letture) Di Gruppo Cap Servizio Di Manutenzione dell’applicativo SUAL (Sistema Unico Acquisizione Letture) Di Gruppo Cap</x:v>
      </x:c>
      <x:c r="M66" s="67" t="str">
        <x:v>https://ted.europa.eu/en/notice/-/detail/412810-2024</x:v>
      </x:c>
      <x:c r="N66" s="68" t="str">
        <x:v>AI-assisted draft</x:v>
      </x:c>
      <x:c r="O66" s="70" t="str"/>
      <x:c r="P66" s="66" t="str">
        <x:v>Needs human review</x:v>
      </x:c>
    </x:row>
    <x:row r="67" ht="84" customHeight="1">
      <x:c r="A67" s="66" t="str">
        <x:v>R1-066</x:v>
      </x:c>
      <x:c r="B67" s="66" t="str">
        <x:v>446176-2024</x:v>
      </x:c>
      <x:c r="C67" s="66" t="str">
        <x:v>ITA</x:v>
      </x:c>
      <x:c r="D67" s="68" t="str">
        <x:v>Not relevant</x:v>
      </x:c>
      <x:c r="E67" s="68" t="str">
        <x:v>High</x:v>
      </x:c>
      <x:c r="F67" s="69" t="str">
        <x:v>The contract supplies LAN and WAN connectivity for payment platforms.</x:v>
      </x:c>
      <x:c r="G67" s="67" t="str">
        <x:v>2024-07-25</x:v>
      </x:c>
      <x:c r="H67" s="67" t="str">
        <x:v>Banca d'Italia Deutsche Bundesbank Banque de France Banco de España</x:v>
      </x:c>
      <x:c r="I67" s="67" t="str">
        <x:v>IT services</x:v>
      </x:c>
      <x:c r="J67" s="67" t="str">
        <x:v>Spain, France, Germany, Italy – Network equipment – Procedura aperta per l'acquisizione di servizi di connettività di rete e di prodotti LAN e relativi servizi per le piattaforme di regolamento T2, T2S e TIPS e per altre infrastrutture di pagamento dell'Eurosistema (22I13 – G004/24)</x:v>
      </x:c>
      <x:c r="K67" s="67" t="str">
        <x:v>32420000, 50312310, 30236200, 32580000, 72254100, 45314000, 72611000, 32562300, 45232320, 72720000</x:v>
      </x:c>
      <x:c r="L67" s="67" t="str">
        <x:v>Procedura aperta per l'acquisizione di servizi di connettività di rete e di prodotti LAN e relativi servizi per le piattaforme di regolamento T2, T2S e TIPS e per altre infrastrutture di pagamento dell'Eurosistema (22I13 – G004/24) Procedura aperta per l'acquisizione di servizi di connettività di rete e di prodotti LAN e relativi servizi per le pia</x:v>
      </x:c>
      <x:c r="M67" s="67" t="str">
        <x:v>https://ted.europa.eu/en/notice/-/detail/446176-2024</x:v>
      </x:c>
      <x:c r="N67" s="68" t="str">
        <x:v>AI-assisted draft</x:v>
      </x:c>
      <x:c r="O67" s="70" t="str"/>
      <x:c r="P67" s="66" t="str">
        <x:v>Draft complete</x:v>
      </x:c>
    </x:row>
    <x:row r="68" ht="84" customHeight="1">
      <x:c r="A68" s="66" t="str">
        <x:v>R1-067</x:v>
      </x:c>
      <x:c r="B68" s="66" t="str">
        <x:v>175103-2024</x:v>
      </x:c>
      <x:c r="C68" s="66" t="str">
        <x:v>BEL</x:v>
      </x:c>
      <x:c r="D68" s="68" t="str">
        <x:v>Not relevant</x:v>
      </x:c>
      <x:c r="E68" s="68" t="str">
        <x:v>High</x:v>
      </x:c>
      <x:c r="F68" s="69" t="str">
        <x:v>The service is human moderation of social-media comments.</x:v>
      </x:c>
      <x:c r="G68" s="67" t="str">
        <x:v>2024-03-22</x:v>
      </x:c>
      <x:c r="H68" s="67" t="str">
        <x:v>RADIO-TELEVISION BELGE DE LA COMMUNAUTE FRANCAISE</x:v>
      </x:c>
      <x:c r="I68" s="67" t="str">
        <x:v>IT services</x:v>
      </x:c>
      <x:c r="J68" s="67" t="str">
        <x:v>Belgium – Data network management and support services – Modération des commentaires sur les réseaux sociaux</x:v>
      </x:c>
      <x:c r="K68" s="67" t="str">
        <x:v>72315000</x:v>
      </x:c>
      <x:c r="L68" s="67" t="str">
        <x:v>Le présent marché public de services a pour objet la mise à disposition d’un prestataire externe afin de prendre en charge la modération de premier niveau des commentaires Réseaux Sociaux sur l’ensemble des pages et comptes actifs, au profit de la RTBF. A ce jour il s’agit de Facebook, Youtube, Instagram et Tiktok. Modération des commentaires sur l</x:v>
      </x:c>
      <x:c r="M68" s="67" t="str">
        <x:v>https://ted.europa.eu/en/notice/-/detail/175103-2024</x:v>
      </x:c>
      <x:c r="N68" s="68" t="str">
        <x:v>AI-assisted draft</x:v>
      </x:c>
      <x:c r="O68" s="70" t="str"/>
      <x:c r="P68" s="66" t="str">
        <x:v>Draft complete</x:v>
      </x:c>
    </x:row>
    <x:row r="69" ht="84" customHeight="1">
      <x:c r="A69" s="66" t="str">
        <x:v>R1-068</x:v>
      </x:c>
      <x:c r="B69" s="66" t="str">
        <x:v>44530-2026</x:v>
      </x:c>
      <x:c r="C69" s="66" t="str">
        <x:v>BEL</x:v>
      </x:c>
      <x:c r="D69" s="68" t="str">
        <x:v>Relevant</x:v>
      </x:c>
      <x:c r="E69" s="68" t="str">
        <x:v>High</x:v>
      </x:c>
      <x:c r="F69" s="69" t="str">
        <x:v>Medical-imaging storage, migration and SaaS hosting are explicit core services.</x:v>
      </x:c>
      <x:c r="G69" s="67" t="str">
        <x:v>2026-01-21</x:v>
      </x:c>
      <x:c r="H69" s="67" t="str">
        <x:v>MercurHosp ASBL</x:v>
      </x:c>
      <x:c r="I69" s="67" t="str">
        <x:v>IT services</x:v>
      </x:c>
      <x:c r="J69" s="67" t="str">
        <x:v>Belgium – IT services: consulting, software development, Internet and support – Plateforme web d’imagerie médicale modulaire</x:v>
      </x:c>
      <x:c r="K69" s="67" t="str">
        <x:v>72000000</x:v>
      </x:c>
      <x:c r="L69" s="67" t="str">
        <x:v>Accord-cadre de services portant sur la mise à disposition, l’hébergement, le stockage, la migration des données existantes et la maintenance, sous forme de SaaS, d’une plateforme web d’imagerie médicale modulaire Accord-cadre de services portant sur la mise à disposition, l’hébergement, le stockage, la migration des données existantes et la mainte</x:v>
      </x:c>
      <x:c r="M69" s="67" t="str">
        <x:v>https://ted.europa.eu/en/notice/-/detail/44530-2026</x:v>
      </x:c>
      <x:c r="N69" s="68" t="str">
        <x:v>AI-assisted draft</x:v>
      </x:c>
      <x:c r="O69" s="70" t="str"/>
      <x:c r="P69" s="66" t="str">
        <x:v>Draft complete</x:v>
      </x:c>
    </x:row>
    <x:row r="70" ht="84" customHeight="1">
      <x:c r="A70" s="66" t="str">
        <x:v>R1-069</x:v>
      </x:c>
      <x:c r="B70" s="66" t="str">
        <x:v>237368-2024</x:v>
      </x:c>
      <x:c r="C70" s="66" t="str">
        <x:v>BEL</x:v>
      </x:c>
      <x:c r="D70" s="68" t="str">
        <x:v>Relevant</x:v>
      </x:c>
      <x:c r="E70" s="68" t="str">
        <x:v>High</x:v>
      </x:c>
      <x:c r="F70" s="69" t="str">
        <x:v>The central platform integrates systems and provides monitoring, reporting and visualization.</x:v>
      </x:c>
      <x:c r="G70" s="67" t="str">
        <x:v>2024-04-22</x:v>
      </x:c>
      <x:c r="H70" s="67" t="str">
        <x:v>Fluvius System Operator cv (Speciale Sectoren)</x:v>
      </x:c>
      <x:c r="I70" s="67" t="str">
        <x:v>Software packages and information systems</x:v>
      </x:c>
      <x:c r="J70" s="67" t="str">
        <x:v>Belgium – IT services: consulting, software development, Internet and support – Central Light Management System (CLMS)</x:v>
      </x:c>
      <x:c r="K70" s="67" t="str">
        <x:v>72000000, 48000000</x:v>
      </x:c>
      <x:c r="L70" s="67" t="str">
        <x:v>Een CLMS is een platform dat koppelt met de drie verschillende beheerssystemen voor interactieve verlichtingstoestellen om een uniform beheer van het volledige park interactieve verlichtingstoestellen (iVT’s) en controllers voor het schakelen van het OV netwerk mogelijk te maken. Volgende elementen zitten in scope van het raamcontract van deze aank</x:v>
      </x:c>
      <x:c r="M70" s="67" t="str">
        <x:v>https://ted.europa.eu/en/notice/-/detail/237368-2024</x:v>
      </x:c>
      <x:c r="N70" s="68" t="str">
        <x:v>AI-assisted draft</x:v>
      </x:c>
      <x:c r="O70" s="70" t="str"/>
      <x:c r="P70" s="66" t="str">
        <x:v>Draft complete</x:v>
      </x:c>
    </x:row>
    <x:row r="71" ht="84" customHeight="1">
      <x:c r="A71" s="66" t="str">
        <x:v>R1-070</x:v>
      </x:c>
      <x:c r="B71" s="66" t="str">
        <x:v>385335-2025</x:v>
      </x:c>
      <x:c r="C71" s="66" t="str">
        <x:v>FIN</x:v>
      </x:c>
      <x:c r="D71" s="68" t="str">
        <x:v>Not relevant</x:v>
      </x:c>
      <x:c r="E71" s="68" t="str">
        <x:v>High</x:v>
      </x:c>
      <x:c r="F71" s="69" t="str">
        <x:v>The procurement is a standard HR and payroll application service.</x:v>
      </x:c>
      <x:c r="G71" s="67" t="str">
        <x:v>2025-06-16</x:v>
      </x:c>
      <x:c r="H71" s="67" t="str">
        <x:v>2M-IT Oy</x:v>
      </x:c>
      <x:c r="I71" s="67" t="str">
        <x:v>IT services</x:v>
      </x:c>
      <x:c r="J71" s="67" t="str">
        <x:v>Finland – Application service providers – HR- ja palkkajärjestelmä sekä palkkapalvelut</x:v>
      </x:c>
      <x:c r="K71" s="67" t="str">
        <x:v>72416000, 79211110</x:v>
      </x:c>
      <x:c r="L71" s="67" t="str">
        <x:v>Hankinnan kohteena on 2M-IT Oy:n käyttöön tuleva HR- ja palkkajärjestelmä sekä palkkapalvelut, jotka tukevat henkilöstön johtamista, työnantajamielikuvaa ja esihenkilötyötä sekä turvaavat ajantasaisen ja virheettömän palkanmaksun. Tämä ilmoitus on ennakkoilmoitus, jolla tiedotetaan Toimittajia tulevasta hankinnasta. Ilmoitus ei edellytä toimenpitei</x:v>
      </x:c>
      <x:c r="M71" s="67" t="str">
        <x:v>https://ted.europa.eu/en/notice/-/detail/385335-2025</x:v>
      </x:c>
      <x:c r="N71" s="68" t="str">
        <x:v>AI-assisted draft</x:v>
      </x:c>
      <x:c r="O71" s="70" t="str"/>
      <x:c r="P71" s="66" t="str">
        <x:v>Draft complete</x:v>
      </x:c>
    </x:row>
    <x:row r="72" ht="84" customHeight="1">
      <x:c r="A72" s="66" t="str">
        <x:v>R1-071</x:v>
      </x:c>
      <x:c r="B72" s="66" t="str">
        <x:v>596503-2025</x:v>
      </x:c>
      <x:c r="C72" s="66" t="str">
        <x:v>FIN</x:v>
      </x:c>
      <x:c r="D72" s="68" t="str">
        <x:v>Relevant</x:v>
      </x:c>
      <x:c r="E72" s="68" t="str">
        <x:v>Medium</x:v>
      </x:c>
      <x:c r="F72" s="69" t="str">
        <x:v>The operator service exchanges financial messages across multiple customer systems.</x:v>
      </x:c>
      <x:c r="G72" s="67" t="str">
        <x:v>2025-09-12</x:v>
      </x:c>
      <x:c r="H72" s="67" t="str">
        <x:v>Monetra Oulu Oy Monetra Pohjois-Savo Oy Monetra Pirkanmaa Oy Monetra Keski-Suomi Oy Monetra Oy</x:v>
      </x:c>
      <x:c r="I72" s="67" t="str">
        <x:v>Software packages and information systems</x:v>
      </x:c>
      <x:c r="J72" s="67" t="str">
        <x:v>Finland – IT services: consulting, software development, Internet and support – Taloushallinnon sanomanvälitysoperaattoripalveluiden hankinta</x:v>
      </x:c>
      <x:c r="K72" s="67" t="str">
        <x:v>72000000, 48000000, 64110000</x:v>
      </x:c>
      <x:c r="L72" s="67" t="str">
        <x:v>Sanomanvälitysoperaattoripalvelut hankitaan Monetra -konsernin omaan käyttöön sekä osaksi sen asiakkaiden kokonaispalvelutuotantoa. Hankinnan kohde ei sisällä palkkalaskelma-aineistojen välittämistä, jolla palkkalaskelmatiedot toimitetaan operaattorille välitettäväksi vastaanottajille eri kanaviin. Tarjouspyynnön liiteaineistossa olevat liitteet ku</x:v>
      </x:c>
      <x:c r="M72" s="67" t="str">
        <x:v>https://ted.europa.eu/en/notice/-/detail/596503-2025</x:v>
      </x:c>
      <x:c r="N72" s="68" t="str">
        <x:v>AI-assisted draft</x:v>
      </x:c>
      <x:c r="O72" s="70" t="str"/>
      <x:c r="P72" s="66" t="str">
        <x:v>Needs human review</x:v>
      </x:c>
    </x:row>
    <x:row r="73" ht="84" customHeight="1">
      <x:c r="A73" s="66" t="str">
        <x:v>R1-072</x:v>
      </x:c>
      <x:c r="B73" s="66" t="str">
        <x:v>566426-2026</x:v>
      </x:c>
      <x:c r="C73" s="66" t="str">
        <x:v>ITA</x:v>
      </x:c>
      <x:c r="D73" s="68" t="str">
        <x:v>Not relevant</x:v>
      </x:c>
      <x:c r="E73" s="68" t="str">
        <x:v>High</x:v>
      </x:c>
      <x:c r="F73" s="69" t="str">
        <x:v>The service operates a regional electronic-procurement system.</x:v>
      </x:c>
      <x:c r="G73" s="67" t="str">
        <x:v>2026-08-17</x:v>
      </x:c>
      <x:c r="H73" s="67" t="str">
        <x:v>SOGGETTO AGGREGATORE REGIONE TOSCANA - SETTORE SISTEMA CLOUD TOSCANO, INFRASTRUTTURE DIGITALI E PIATTAFORME ABILITANTI</x:v>
      </x:c>
      <x:c r="I73" s="67" t="str">
        <x:v>IT services</x:v>
      </x:c>
      <x:c r="J73" s="67" t="str">
        <x:v>Italy – Software-related services – Servizio di Gestione del Sistema Telematico Acquisti Regionale della Toscana (START)</x:v>
      </x:c>
      <x:c r="K73" s="67" t="str">
        <x:v>72260000</x:v>
      </x:c>
      <x:c r="L73" s="67" t="str">
        <x:v>Servizio di Gestione del Sistema Telematico Acquisti Regionale della Toscana (START) Servizio di Gestione del Sistema Telematico Acquisti Regionale della Toscana (START)</x:v>
      </x:c>
      <x:c r="M73" s="67" t="str">
        <x:v>https://ted.europa.eu/en/notice/-/detail/566426-2026</x:v>
      </x:c>
      <x:c r="N73" s="68" t="str">
        <x:v>AI-assisted draft</x:v>
      </x:c>
      <x:c r="O73" s="70" t="str"/>
      <x:c r="P73" s="66" t="str">
        <x:v>Draft complete</x:v>
      </x:c>
    </x:row>
    <x:row r="74" ht="84" customHeight="1">
      <x:c r="A74" s="66" t="str">
        <x:v>R1-073</x:v>
      </x:c>
      <x:c r="B74" s="66" t="str">
        <x:v>227121-2024</x:v>
      </x:c>
      <x:c r="C74" s="66" t="str">
        <x:v>FIN</x:v>
      </x:c>
      <x:c r="D74" s="68" t="str">
        <x:v>Not relevant</x:v>
      </x:c>
      <x:c r="E74" s="68" t="str">
        <x:v>High</x:v>
      </x:c>
      <x:c r="F74" s="69" t="str">
        <x:v>The contract is for network and DWDM connectivity.</x:v>
      </x:c>
      <x:c r="G74" s="67" t="str">
        <x:v>2024-04-17</x:v>
      </x:c>
      <x:c r="H74" s="67" t="str">
        <x:v>LapIT Oy</x:v>
      </x:c>
      <x:c r="I74" s="67" t="str">
        <x:v>IT services</x:v>
      </x:c>
      <x:c r="J74" s="67" t="str">
        <x:v>Finland – Wide area network services – Tietoliikennepalvelut</x:v>
      </x:c>
      <x:c r="K74" s="67" t="str">
        <x:v>72720000, 32412000, 64210000, 72590000, 72710000, 72700000</x:v>
      </x:c>
      <x:c r="L74" s="67" t="str">
        <x:v>Hankintayksikkö pyytää tarjousta seuraavista palveluista ja hankinta on jaettu kahteen osa-alueeseen: • A) Suljettu tietoliikenneverkko ja optiona mm. internet-yhteys, lähiverkon laitteet palveluna sekä muita näihin liittyviä optioita vaatimusmäärittelyssä kuvatusti • B) DWDM palvelu Tarjoaja voi tarjota palveluita yhdelle tai kahdelle osa-alueelle</x:v>
      </x:c>
      <x:c r="M74" s="67" t="str">
        <x:v>https://ted.europa.eu/en/notice/-/detail/227121-2024</x:v>
      </x:c>
      <x:c r="N74" s="68" t="str">
        <x:v>AI-assisted draft</x:v>
      </x:c>
      <x:c r="O74" s="70" t="str"/>
      <x:c r="P74" s="66" t="str">
        <x:v>Draft complete</x:v>
      </x:c>
    </x:row>
    <x:row r="75" ht="84" customHeight="1">
      <x:c r="A75" s="66" t="str">
        <x:v>R1-074</x:v>
      </x:c>
      <x:c r="B75" s="66" t="str">
        <x:v>417647-2026</x:v>
      </x:c>
      <x:c r="C75" s="66" t="str">
        <x:v>FIN</x:v>
      </x:c>
      <x:c r="D75" s="68" t="str">
        <x:v>Not relevant</x:v>
      </x:c>
      <x:c r="E75" s="68" t="str">
        <x:v>High</x:v>
      </x:c>
      <x:c r="F75" s="69" t="str">
        <x:v>The scope is internet, fiber, DNS and DDoS connectivity.</x:v>
      </x:c>
      <x:c r="G75" s="67" t="str">
        <x:v>2026-06-18</x:v>
      </x:c>
      <x:c r="H75" s="67" t="str">
        <x:v>Keva</x:v>
      </x:c>
      <x:c r="I75" s="67" t="str">
        <x:v>IT services</x:v>
      </x:c>
      <x:c r="J75" s="67" t="str">
        <x:v>Finland – Internet service providers ISP – Tietoliikenneliittymät</x:v>
      </x:c>
      <x:c r="K75" s="67" t="str">
        <x:v>72411000, 72720000</x:v>
      </x:c>
      <x:c r="L75" s="67" t="str">
        <x:v>Keva (myöhemmin myös Tilaaja) pyytää tarjouksia liittymien hankinnasta. Hankinnan kohteena on liittymät (internet, kuidut ja Express Routet) sekä internet-liittymiin tarvittavan DDOS-suojauksen. Myös Domain- ja DNS-palvelut sisältyvät hankintaan. Tilaaja ei sitoudu mihinkään hankintamääriin. Hankinta on jaettu kahteen (2) osa-alueeseen. Osa-alue 1:</x:v>
      </x:c>
      <x:c r="M75" s="67" t="str">
        <x:v>https://ted.europa.eu/en/notice/-/detail/417647-2026</x:v>
      </x:c>
      <x:c r="N75" s="68" t="str">
        <x:v>AI-assisted draft</x:v>
      </x:c>
      <x:c r="O75" s="70" t="str"/>
      <x:c r="P75" s="66" t="str">
        <x:v>Draft complete</x:v>
      </x:c>
    </x:row>
    <x:row r="76" ht="84" customHeight="1">
      <x:c r="A76" s="66" t="str">
        <x:v>R1-075</x:v>
      </x:c>
      <x:c r="B76" s="66" t="str">
        <x:v>648247-2024</x:v>
      </x:c>
      <x:c r="C76" s="66" t="str">
        <x:v>ITA</x:v>
      </x:c>
      <x:c r="D76" s="68" t="str">
        <x:v>Not relevant</x:v>
      </x:c>
      <x:c r="E76" s="68" t="str">
        <x:v>Medium</x:v>
      </x:c>
      <x:c r="F76" s="69" t="str">
        <x:v>The available scope describes general virtualization and decentralized network infrastructure.</x:v>
      </x:c>
      <x:c r="G76" s="67" t="str">
        <x:v>2024-10-24</x:v>
      </x:c>
      <x:c r="H76" s="67" t="str">
        <x:v>Azienda Servizi Municipalizzati di Merano S.p.A.</x:v>
      </x:c>
      <x:c r="I76" s="67" t="str">
        <x:v>IT services</x:v>
      </x:c>
      <x:c r="J76" s="67" t="str">
        <x:v>Italy – Hardware consultancy services – SERVIZIO DI MESSA A DISPOSIZIONE E GESTIONE CENTRALIZZATA DELL’INFRASTRUTTURA DI VIRTUALIZZAZIONE E DELLE RETI DECENTRATE E DELLE RELATIVE ATTIVITA’ DI SUPPORTO DELLA SOCIETA’ IN HOUSE ITS S.R.L. E DELLE SOCIETA’ CONTROLLANTI</x:v>
      </x:c>
      <x:c r="K76" s="67" t="str">
        <x:v>72100000, 72220000, 72910000, 72253100, 72150000, 72514300</x:v>
      </x:c>
      <x:c r="L76" s="67" t="str">
        <x:v>siehe Ausschreibungsbedingungen vedasi disciplinare di gara siehe Ausschreibungsbedingungen vedasi disciplinare di gara</x:v>
      </x:c>
      <x:c r="M76" s="67" t="str">
        <x:v>https://ted.europa.eu/en/notice/-/detail/648247-2024</x:v>
      </x:c>
      <x:c r="N76" s="68" t="str">
        <x:v>AI-assisted draft</x:v>
      </x:c>
      <x:c r="O76" s="70" t="str"/>
      <x:c r="P76" s="66" t="str">
        <x:v>Needs human review</x:v>
      </x:c>
    </x:row>
    <x:row r="77" ht="84" customHeight="1">
      <x:c r="A77" s="66" t="str">
        <x:v>R1-076</x:v>
      </x:c>
      <x:c r="B77" s="66" t="str">
        <x:v>839045-2025</x:v>
      </x:c>
      <x:c r="C77" s="66" t="str">
        <x:v>FIN</x:v>
      </x:c>
      <x:c r="D77" s="68" t="str">
        <x:v>Relevant</x:v>
      </x:c>
      <x:c r="E77" s="68" t="str">
        <x:v>High</x:v>
      </x:c>
      <x:c r="F77" s="69" t="str">
        <x:v>The purchasing system explicitly covers AI and data-driven management platforms and services.</x:v>
      </x:c>
      <x:c r="G77" s="67" t="str">
        <x:v>2025-12-17</x:v>
      </x:c>
      <x:c r="H77" s="67" t="str">
        <x:v>2M-IT Oy</x:v>
      </x:c>
      <x:c r="I77" s="67" t="str">
        <x:v>Software packages and information systems</x:v>
      </x:c>
      <x:c r="J77" s="67" t="str">
        <x:v>Finland – IT services: consulting, software development, Internet and support – Tiedolla johtamisen ja tekoälyn (AI) palvelut</x:v>
      </x:c>
      <x:c r="K77" s="67" t="str">
        <x:v>72000000, 48000000</x:v>
      </x:c>
      <x:c r="L77" s="67" t="str">
        <x:v>2M-IT Oy (jäljempänä myös "Hankintayksikkö" tai "Tilaaja") perustaa dynaamisen hankintajärjestelmän (DPS) koskien tiedolla johtamisen ja tekoälyn palveluita. Dynaamisen hankintajärjestelmän (DPS) mukaisia palveluja tarjoavat organisaatiot voivat jättää osallistumishakemuksia dynaamiseen hankintajärjestelmään koko sen keston ajan. Dynaamiseen hankin</x:v>
      </x:c>
      <x:c r="M77" s="67" t="str">
        <x:v>https://ted.europa.eu/en/notice/-/detail/839045-2025</x:v>
      </x:c>
      <x:c r="N77" s="68" t="str">
        <x:v>AI-assisted draft</x:v>
      </x:c>
      <x:c r="O77" s="70" t="str"/>
      <x:c r="P77" s="66" t="str">
        <x:v>Draft complete</x:v>
      </x:c>
    </x:row>
    <x:row r="78" ht="84" customHeight="1">
      <x:c r="A78" s="66" t="str">
        <x:v>R1-077</x:v>
      </x:c>
      <x:c r="B78" s="66" t="str">
        <x:v>392233-2026</x:v>
      </x:c>
      <x:c r="C78" s="66" t="str">
        <x:v>ITA</x:v>
      </x:c>
      <x:c r="D78" s="68" t="str">
        <x:v>Not relevant</x:v>
      </x:c>
      <x:c r="E78" s="68" t="str">
        <x:v>High</x:v>
      </x:c>
      <x:c r="F78" s="69" t="str">
        <x:v>The contract concerns overseas delivery of traffic-fine notifications.</x:v>
      </x:c>
      <x:c r="G78" s="67" t="str">
        <x:v>2026-06-09</x:v>
      </x:c>
      <x:c r="H78" s="67" t="str">
        <x:v>PULA</x:v>
      </x:c>
      <x:c r="I78" s="67" t="str">
        <x:v>IT services</x:v>
      </x:c>
      <x:c r="J78" s="67" t="str">
        <x:v>Italy – Database services – REALIZZAZIONE DEL SERVIZIO DI NOTIFICA DELLE SANZIONI AMMINISTRATIVE RELATIVE ALL&amp;#8217;ATTIVITA&amp;#8217; DELLA POLIZIA LOCALE DEL COMUNE DI PULA IL CUI TRASGRESSORE O OBBLIGATO IN SOLIDO NON SIA RESIDENTE IN ITALIA</x:v>
      </x:c>
      <x:c r="K78" s="67" t="str">
        <x:v>72320000</x:v>
      </x:c>
      <x:c r="L78" s="67" t="str">
        <x:v>REALIZZAZIONE DEL SERVIZIO DI NOTIFICA DELLE SANZIONI AMMINISTRATIVE RELATIVE ALL’ATTIVITA’ DELLA POLIZIA LOCALE DEL COMUNE DI PULA IL CUI TRASGRESSORE O OBBLIGATO IN SOLIDO NON SIA RESIDENTE IN ITALIA REALIZZAZIONE DEL SERVIZIO DI NOTIFICA DELLE SANZIONI AMMINISTRATIVE RELATIVE ALL&amp;#8217;ATTIVITA&amp;#8217; DELLA POLIZIA LOCALE DEL COMUNE DI PULA IL C</x:v>
      </x:c>
      <x:c r="M78" s="67" t="str">
        <x:v>https://ted.europa.eu/en/notice/-/detail/392233-2026</x:v>
      </x:c>
      <x:c r="N78" s="68" t="str">
        <x:v>AI-assisted draft</x:v>
      </x:c>
      <x:c r="O78" s="70" t="str"/>
      <x:c r="P78" s="66" t="str">
        <x:v>Draft complete</x:v>
      </x:c>
    </x:row>
    <x:row r="79" ht="84" customHeight="1">
      <x:c r="A79" s="66" t="str">
        <x:v>R1-078</x:v>
      </x:c>
      <x:c r="B79" s="66" t="str">
        <x:v>43032-2025</x:v>
      </x:c>
      <x:c r="C79" s="66" t="str">
        <x:v>ITA</x:v>
      </x:c>
      <x:c r="D79" s="68" t="str">
        <x:v>Not relevant</x:v>
      </x:c>
      <x:c r="E79" s="68" t="str">
        <x:v>High</x:v>
      </x:c>
      <x:c r="F79" s="69" t="str">
        <x:v>The work updates ticketing and vehicle-monitoring operational systems.</x:v>
      </x:c>
      <x:c r="G79" s="67" t="str">
        <x:v>2025-01-21</x:v>
      </x:c>
      <x:c r="H79" s="67" t="str">
        <x:v>ATAP S.P.A. AZIENDA TRASPORTI AUTOMOBILISTICI PUBBLICI DELLE PROVINCE DI BIELLA E VERCELLI</x:v>
      </x:c>
      <x:c r="I79" s="67" t="str">
        <x:v>IT services</x:v>
      </x:c>
      <x:c r="J79" s="67" t="str">
        <x:v>Italy – Computer facilities management services – Procedura aperta ai sensi del LIBRO III (Settori Speciali) del D.LGS. 31/03/2023 N. 36 per l’affidamento del servizio di aggiornamento dei Sistemi di Bigliettazione e AVM.</x:v>
      </x:c>
      <x:c r="K79" s="67" t="str">
        <x:v>72514000, 30236000, 51611100, 72611000</x:v>
      </x:c>
      <x:c r="L79" s="67" t="str">
        <x:v>Affidamento del servizio di aggiornamento dei Sistemi di Bigliettazione e AVM affidamento del servizio di aggiornamento dei Sistemi di Bigliettazione e AVM</x:v>
      </x:c>
      <x:c r="M79" s="67" t="str">
        <x:v>https://ted.europa.eu/en/notice/-/detail/43032-2025</x:v>
      </x:c>
      <x:c r="N79" s="68" t="str">
        <x:v>AI-assisted draft</x:v>
      </x:c>
      <x:c r="O79" s="70" t="str"/>
      <x:c r="P79" s="66" t="str">
        <x:v>Draft complete</x:v>
      </x:c>
    </x:row>
    <x:row r="80" ht="84" customHeight="1">
      <x:c r="A80" s="66" t="str">
        <x:v>R1-079</x:v>
      </x:c>
      <x:c r="B80" s="66" t="str">
        <x:v>474923-2024</x:v>
      </x:c>
      <x:c r="C80" s="66" t="str">
        <x:v>ITA</x:v>
      </x:c>
      <x:c r="D80" s="68" t="str">
        <x:v>Relevant</x:v>
      </x:c>
      <x:c r="E80" s="68" t="str">
        <x:v>High</x:v>
      </x:c>
      <x:c r="F80" s="69" t="str">
        <x:v>The qualification system contains material lots for BI, data management, data centers and cloud.</x:v>
      </x:c>
      <x:c r="G80" s="67" t="str">
        <x:v>2024-08-07</x:v>
      </x:c>
      <x:c r="H80" s="67" t="str">
        <x:v>Ferservizi S.p.A. Gruppo Ferrovie dello Stato Italiane (Società con socio unico soggetta alla direzione e coordinamento di Ferrovie dello Stato Italiane S.p.A.)</x:v>
      </x:c>
      <x:c r="I80" s="67" t="str">
        <x:v>IT services</x:v>
      </x:c>
      <x:c r="J80" s="67" t="str">
        <x:v>Italy – IT services: consulting, software development, Internet and support – Sistema di Qualificazione dei Fornitori di beni, dei Prestatori di servizi ed Esecutori di lavori di Ferservizi S.p.A. (Sottosistemi relativi ai SERVIZI)</x:v>
      </x:c>
      <x:c r="K80" s="67" t="str">
        <x:v>72000000, 66171000, 73100000, 73200000, 79221000, 79411000, 79412000, 79415200, 79419000, 79413000, 79713000, 79714000, 79711000, 50700000, 79620000, 79632000, 80531200, 80550000, 80580000, 66510000, 66519310, 79952000, 79341400, 34110000, 63510000</x:v>
      </x:c>
      <x:c r="L80" s="67" t="str">
        <x:v>SOTTOSISTEMA SVZ1-ICT - SERVIZI ICT Categorie: SVZ-ICT-01 ICT Security governance; SVZ-ICT-02 Digital Governance; SVZ-ICT-03 Digital Architecture; SVZ-ICT-04 Progettazione di soluzioni in ambito Technology; SVZ-ICT-05 Sviluppo applicazioni a supporto dei processi Software per la comunicazione digitale, piattaforme mobili; SVZ-ICT-06 Sviluppo applic</x:v>
      </x:c>
      <x:c r="M80" s="67" t="str">
        <x:v>https://ted.europa.eu/en/notice/-/detail/474923-2024</x:v>
      </x:c>
      <x:c r="N80" s="68" t="str">
        <x:v>AI-assisted draft</x:v>
      </x:c>
      <x:c r="O80" s="70" t="str"/>
      <x:c r="P80" s="66" t="str">
        <x:v>Draft complete</x:v>
      </x:c>
    </x:row>
    <x:row r="81" ht="84" customHeight="1">
      <x:c r="A81" s="66" t="str">
        <x:v>R1-080</x:v>
      </x:c>
      <x:c r="B81" s="66" t="str">
        <x:v>345257-2024</x:v>
      </x:c>
      <x:c r="C81" s="66" t="str">
        <x:v>FIN</x:v>
      </x:c>
      <x:c r="D81" s="68" t="str">
        <x:v>Not relevant</x:v>
      </x:c>
      <x:c r="E81" s="68" t="str">
        <x:v>High</x:v>
      </x:c>
      <x:c r="F81" s="69" t="str">
        <x:v>The main procurement is outsourced accounting and payroll administration.</x:v>
      </x:c>
      <x:c r="G81" s="67" t="str">
        <x:v>2024-06-11</x:v>
      </x:c>
      <x:c r="H81" s="67" t="str">
        <x:v>Raudaskylän Kristillinen Opisto r.y.</x:v>
      </x:c>
      <x:c r="I81" s="67" t="str">
        <x:v>Software packages and information systems</x:v>
      </x:c>
      <x:c r="J81" s="67" t="str">
        <x:v>Finland – Accounting services – Yksityisen oppilaitoksen talous- ja palkkahallinnon palvelut - Ylivieska</x:v>
      </x:c>
      <x:c r="K81" s="67" t="str">
        <x:v>79211000, 79211110, 48442000</x:v>
      </x:c>
      <x:c r="L81" s="67" t="str">
        <x:v>Raudaskylän Kristillinen Opisto r.y. (hankintayksikkö, tilaaja) kutsuu tällä osallistumispyynnöllä hankinnasta kiinnostuneita ehdokkaita neuvottelumenettelyyn. Raudaskylän Kristillinen Opisto on yksityinen oppilaitos, joka tarjoaa valtionosuusrahoitteista perusopetusta, tutkintokoulutukseen valmentavaa koulutusta, lukiokoulutusta, ammatillista koul</x:v>
      </x:c>
      <x:c r="M81" s="67" t="str">
        <x:v>https://ted.europa.eu/en/notice/-/detail/345257-2024</x:v>
      </x:c>
      <x:c r="N81" s="68" t="str">
        <x:v>AI-assisted draft</x:v>
      </x:c>
      <x:c r="O81" s="70" t="str"/>
      <x:c r="P81" s="66" t="str">
        <x:v>Draft complete</x:v>
      </x:c>
    </x:row>
    <x:row r="82" ht="84" customHeight="1">
      <x:c r="A82" s="66" t="str">
        <x:v>R1-081</x:v>
      </x:c>
      <x:c r="B82" s="66" t="str">
        <x:v>757629-2025</x:v>
      </x:c>
      <x:c r="C82" s="66" t="str">
        <x:v>FIN</x:v>
      </x:c>
      <x:c r="D82" s="68" t="str">
        <x:v>Not relevant</x:v>
      </x:c>
      <x:c r="E82" s="68" t="str">
        <x:v>High</x:v>
      </x:c>
      <x:c r="F82" s="69" t="str">
        <x:v>The project renews SD-WAN, LAN, internet and firewall services.</x:v>
      </x:c>
      <x:c r="G82" s="67" t="str">
        <x:v>2025-11-14</x:v>
      </x:c>
      <x:c r="H82" s="67" t="str">
        <x:v>Sansia Oy Careeria Oy</x:v>
      </x:c>
      <x:c r="I82" s="67" t="str">
        <x:v>IT services</x:v>
      </x:c>
      <x:c r="J82" s="67" t="str">
        <x:v>Finland – Data network management and support services – Tietoverkkopalvelut, Careeria Oy</x:v>
      </x:c>
      <x:c r="K82" s="67" t="str">
        <x:v>72315000, 32400000</x:v>
      </x:c>
      <x:c r="L82" s="67" t="str">
        <x:v>Kilpailutuksen kohde on Careerian kaikkia toimipisteitä palvelevan tietoverkon uudistus SD-WAN – toteutuksena ja siihen liittyvät palvelut. Hankinnan sisältö jaetaan seuraavasti: - Lähiverkon laitteet - Lähiverkon palvelut - Internet-yhteydet - Toimipisteverkon (SD-WAN) laitteet - Palomuurin laitteet - Verkkotunnistehallinta - Sertifikaattipalvelut</x:v>
      </x:c>
      <x:c r="M82" s="67" t="str">
        <x:v>https://ted.europa.eu/en/notice/-/detail/757629-2025</x:v>
      </x:c>
      <x:c r="N82" s="68" t="str">
        <x:v>AI-assisted draft</x:v>
      </x:c>
      <x:c r="O82" s="70" t="str"/>
      <x:c r="P82" s="66" t="str">
        <x:v>Draft complete</x:v>
      </x:c>
    </x:row>
    <x:row r="83" ht="84" customHeight="1">
      <x:c r="A83" s="66" t="str">
        <x:v>R1-082</x:v>
      </x:c>
      <x:c r="B83" s="66" t="str">
        <x:v>274076-2024</x:v>
      </x:c>
      <x:c r="C83" s="66" t="str">
        <x:v>BEL</x:v>
      </x:c>
      <x:c r="D83" s="68" t="str">
        <x:v>Not relevant</x:v>
      </x:c>
      <x:c r="E83" s="68" t="str">
        <x:v>High</x:v>
      </x:c>
      <x:c r="F83" s="69" t="str">
        <x:v>The purchase supplies Chromebooks to students and teachers.</x:v>
      </x:c>
      <x:c r="G83" s="67" t="str">
        <x:v>2024-05-08</x:v>
      </x:c>
      <x:c r="H83" s="67" t="str">
        <x:v>PROVINCE DU HAINAUT, OFFICE CENTRAL DES ACHATS</x:v>
      </x:c>
      <x:c r="I83" s="67" t="str">
        <x:v>Computing equipment and supplies</x:v>
      </x:c>
      <x:c r="J83" s="67" t="str">
        <x:v>Belgium – Portable computers – Ordinateurs portables "chromebooks" à destination des élèves et enseignants et services liés</x:v>
      </x:c>
      <x:c r="K83" s="67" t="str">
        <x:v>30213100</x:v>
      </x:c>
      <x:c r="L83" s="67" t="str">
        <x:v>Ordinateurs portables "chromebooks" à destination des élèves et enseignants et services liés Chromebooks élèves Chromebooks enseignants</x:v>
      </x:c>
      <x:c r="M83" s="67" t="str">
        <x:v>https://ted.europa.eu/en/notice/-/detail/274076-2024</x:v>
      </x:c>
      <x:c r="N83" s="68" t="str">
        <x:v>AI-assisted draft</x:v>
      </x:c>
      <x:c r="O83" s="70" t="str"/>
      <x:c r="P83" s="66" t="str">
        <x:v>Draft complete</x:v>
      </x:c>
    </x:row>
    <x:row r="84" ht="84" customHeight="1">
      <x:c r="A84" s="66" t="str">
        <x:v>R1-083</x:v>
      </x:c>
      <x:c r="B84" s="66" t="str">
        <x:v>286517-2018</x:v>
      </x:c>
      <x:c r="C84" s="66" t="str">
        <x:v>ITA</x:v>
      </x:c>
      <x:c r="D84" s="68" t="str">
        <x:v>Unsure</x:v>
      </x:c>
      <x:c r="E84" s="68" t="str">
        <x:v>Low</x:v>
      </x:c>
      <x:c r="F84" s="69" t="str">
        <x:v>The title and CPV combine database and operating software, but no usable scope description is available.</x:v>
      </x:c>
      <x:c r="G84" s="67" t="str">
        <x:v>2018-07-03</x:v>
      </x:c>
      <x:c r="H84" s="67" t="str">
        <x:v>AP Reti Gas S.p.A.</x:v>
      </x:c>
      <x:c r="I84" s="67" t="str">
        <x:v>Software packages and information systems</x:v>
      </x:c>
      <x:c r="J84" s="67" t="str">
        <x:v>Italy-Pieve di Soligo: Database and operating software package</x:v>
      </x:c>
      <x:c r="K84" s="67" t="str">
        <x:v>48600000</x:v>
      </x:c>
      <x:c r="L84" s="67" t="str"/>
      <x:c r="M84" s="67" t="str">
        <x:v>https://ted.europa.eu/en/notice/-/detail/286517-2018</x:v>
      </x:c>
      <x:c r="N84" s="68" t="str">
        <x:v>AI-assisted draft</x:v>
      </x:c>
      <x:c r="O84" s="70" t="str"/>
      <x:c r="P84" s="66" t="str">
        <x:v>Needs human review</x:v>
      </x:c>
    </x:row>
    <x:row r="85" ht="84" customHeight="1">
      <x:c r="A85" s="66" t="str">
        <x:v>R1-084</x:v>
      </x:c>
      <x:c r="B85" s="66" t="str">
        <x:v>39794-2026</x:v>
      </x:c>
      <x:c r="C85" s="66" t="str">
        <x:v>FIN</x:v>
      </x:c>
      <x:c r="D85" s="68" t="str">
        <x:v>Not relevant</x:v>
      </x:c>
      <x:c r="E85" s="68" t="str">
        <x:v>High</x:v>
      </x:c>
      <x:c r="F85" s="69" t="str">
        <x:v>The scope is a finance system; data conversion and migration are implementation tasks.</x:v>
      </x:c>
      <x:c r="G85" s="67" t="str">
        <x:v>2026-01-20</x:v>
      </x:c>
      <x:c r="H85" s="67" t="str">
        <x:v>Tampereen kaupunki</x:v>
      </x:c>
      <x:c r="I85" s="67" t="str">
        <x:v>Software packages and information systems</x:v>
      </x:c>
      <x:c r="J85" s="67" t="str">
        <x:v>Finland – Software package and information systems – Taloushallintojärjestelmän hankinta</x:v>
      </x:c>
      <x:c r="K85" s="67" t="str">
        <x:v>48000000, 72000000</x:v>
      </x:c>
      <x:c r="L85" s="67" t="str">
        <x:v>Hankinnan kohteena on taloushallintojärjestelmä, ml. siihen liittyvä palvelut. Hankinnan kohde voidaan loogisesti jakaa kolmeen eri kokonaisuuteen, jotka ovat: 1. Taloushallintojärjestelmä ja sen käytön tuki sisältäen mahdollisuuden järjestelmän laajentamiseen sen alkuperäiseen käyttötarkoitukseen. 2. Täydentävät asiantuntijapalvelut, kattaen eriks</x:v>
      </x:c>
      <x:c r="M85" s="67" t="str">
        <x:v>https://ted.europa.eu/en/notice/-/detail/39794-2026</x:v>
      </x:c>
      <x:c r="N85" s="68" t="str">
        <x:v>AI-assisted draft</x:v>
      </x:c>
      <x:c r="O85" s="70" t="str"/>
      <x:c r="P85" s="66" t="str">
        <x:v>Draft complete</x:v>
      </x:c>
    </x:row>
    <x:row r="86" ht="84" customHeight="1">
      <x:c r="A86" s="66" t="str">
        <x:v>R1-085</x:v>
      </x:c>
      <x:c r="B86" s="66" t="str">
        <x:v>338449-2026</x:v>
      </x:c>
      <x:c r="C86" s="66" t="str">
        <x:v>ITA</x:v>
      </x:c>
      <x:c r="D86" s="68" t="str">
        <x:v>Not relevant</x:v>
      </x:c>
      <x:c r="E86" s="68" t="str">
        <x:v>High</x:v>
      </x:c>
      <x:c r="F86" s="69" t="str">
        <x:v>The procurement renews application-monitoring software maintenance and support.</x:v>
      </x:c>
      <x:c r="G86" s="67" t="str">
        <x:v>2026-05-18</x:v>
      </x:c>
      <x:c r="H86" s="67" t="str">
        <x:v>STATO MAGGIORE ESERCITO - UG CRA EI DIREZIONE DI INTENDENZA</x:v>
      </x:c>
      <x:c r="I86" s="67" t="str">
        <x:v>IT services</x:v>
      </x:c>
      <x:c r="J86" s="67" t="str">
        <x:v>Italy – Software-related services – Procedura aperta, ai sensi dell’art. 71 del d.lgs. n. 36/2023, in modalità Application Service Provider (ASP) di Consip S.p.A., finalizzata all’approvvigionamento di sottoscrizioni manutentive e supporto professionale per software di monitoraggio Dynatrace.</x:v>
      </x:c>
      <x:c r="K86" s="67" t="str">
        <x:v>72260000</x:v>
      </x:c>
      <x:c r="L86" s="67" t="str">
        <x:v>Procedura aperta, ai sensi dell’art. 71 del d.lgs. n. 36/2023, in modalità Application Service Provider (ASP) di Consip S.p.A., finalizzata all’approvvigionamento di sottoscrizioni manutentive e supporto professionale per software di monitoraggio Dynatrace. Procedura aperta, ai sensi dell’art. 71 del d.lgs. n. 36/2023, in modalità Application Servi</x:v>
      </x:c>
      <x:c r="M86" s="67" t="str">
        <x:v>https://ted.europa.eu/en/notice/-/detail/338449-2026</x:v>
      </x:c>
      <x:c r="N86" s="68" t="str">
        <x:v>AI-assisted draft</x:v>
      </x:c>
      <x:c r="O86" s="70" t="str"/>
      <x:c r="P86" s="66" t="str">
        <x:v>Draft complete</x:v>
      </x:c>
    </x:row>
    <x:row r="87" ht="84" customHeight="1">
      <x:c r="A87" s="66" t="str">
        <x:v>R1-086</x:v>
      </x:c>
      <x:c r="B87" s="66" t="str">
        <x:v>724025-2025</x:v>
      </x:c>
      <x:c r="C87" s="66" t="str">
        <x:v>ITA</x:v>
      </x:c>
      <x:c r="D87" s="68" t="str">
        <x:v>Relevant</x:v>
      </x:c>
      <x:c r="E87" s="68" t="str">
        <x:v>High</x:v>
      </x:c>
      <x:c r="F87" s="69" t="str">
        <x:v>Dedicated AI server lots with entry and enterprise GPUs are material parts of the framework.</x:v>
      </x:c>
      <x:c r="G87" s="67" t="str">
        <x:v>2025-11-03</x:v>
      </x:c>
      <x:c r="H87" s="67" t="str">
        <x:v>Consip S.p.A.</x:v>
      </x:c>
      <x:c r="I87" s="67" t="str">
        <x:v>Software packages and information systems</x:v>
      </x:c>
      <x:c r="J87" s="67" t="str">
        <x:v>Italy – Servers – Gara a procedura aperta per la fornitura in acquisto di tecnologie server e dei servizi connessi ed opzionali per le pubbliche amministrazioni – ID 2878</x:v>
      </x:c>
      <x:c r="K87" s="67" t="str">
        <x:v>48820000</x:v>
      </x:c>
      <x:c r="L87" s="67" t="str">
        <x:v>Gara a procedura aperta, suddivisa in 8 lotti, per l’appalto di fornitura di Tecnologie Server e dei servizi connessi ed opzionali per le Pubbliche Amministrazioni ai sensi dell’art. 26 legge n. 488/1999 e s.m.i. e dell’art. 58 legge n. 388/2000 – ID 2878 Server Edge Server biprocessore Tower Server rackable bi-processore (base) Server rackable bi-</x:v>
      </x:c>
      <x:c r="M87" s="67" t="str">
        <x:v>https://ted.europa.eu/en/notice/-/detail/724025-2025</x:v>
      </x:c>
      <x:c r="N87" s="68" t="str">
        <x:v>AI-assisted draft</x:v>
      </x:c>
      <x:c r="O87" s="70" t="str"/>
      <x:c r="P87" s="66" t="str">
        <x:v>Draft complete</x:v>
      </x:c>
    </x:row>
    <x:row r="88" ht="84" customHeight="1">
      <x:c r="A88" s="66" t="str">
        <x:v>R1-087</x:v>
      </x:c>
      <x:c r="B88" s="66" t="str">
        <x:v>519608-2025</x:v>
      </x:c>
      <x:c r="C88" s="66" t="str">
        <x:v>BEL</x:v>
      </x:c>
      <x:c r="D88" s="68" t="str">
        <x:v>Unsure</x:v>
      </x:c>
      <x:c r="E88" s="68" t="str">
        <x:v>Low</x:v>
      </x:c>
      <x:c r="F88" s="69" t="str">
        <x:v>The notice only states broad IT study and consultancy, with no specific service scope.</x:v>
      </x:c>
      <x:c r="G88" s="67" t="str">
        <x:v>2025-08-08</x:v>
      </x:c>
      <x:c r="H88" s="67" t="str">
        <x:v>NMBS</x:v>
      </x:c>
      <x:c r="I88" s="67" t="str">
        <x:v>IT services</x:v>
      </x:c>
      <x:c r="J88" s="67" t="str">
        <x:v>Belgium – Systems and technical consultancy services – Bureau d’étude et de conseil en informatique</x:v>
      </x:c>
      <x:c r="K88" s="67" t="str">
        <x:v>72220000, 72224000, 72100000, 72221000, 72222300</x:v>
      </x:c>
      <x:c r="L88" s="67" t="str">
        <x:v>Un accord-cadre pluriannuel en vue de la désignation d’un bureau d’étude et de conseil en informatique. Een meerjarige raamovereenkomst voor een aanstelling van een IT onderzoeks- en adviesbureau. Un accord-cadre pluriannuel en vue de la désignation d’un bureau d’étude et de conseil en informatique. Een meerjarige raamovereenkomst voor een aanstell</x:v>
      </x:c>
      <x:c r="M88" s="67" t="str">
        <x:v>https://ted.europa.eu/en/notice/-/detail/519608-2025</x:v>
      </x:c>
      <x:c r="N88" s="68" t="str">
        <x:v>AI-assisted draft</x:v>
      </x:c>
      <x:c r="O88" s="70" t="str"/>
      <x:c r="P88" s="66" t="str">
        <x:v>Needs human review</x:v>
      </x:c>
    </x:row>
    <x:row r="89" ht="84" customHeight="1">
      <x:c r="A89" s="66" t="str">
        <x:v>R1-088</x:v>
      </x:c>
      <x:c r="B89" s="66" t="str">
        <x:v>586092-2026</x:v>
      </x:c>
      <x:c r="C89" s="66" t="str">
        <x:v>FIN</x:v>
      </x:c>
      <x:c r="D89" s="68" t="str">
        <x:v>Not relevant</x:v>
      </x:c>
      <x:c r="E89" s="68" t="str">
        <x:v>High</x:v>
      </x:c>
      <x:c r="F89" s="69" t="str">
        <x:v>The service is a strategic CISO and information-security management role.</x:v>
      </x:c>
      <x:c r="G89" s="67" t="str">
        <x:v>2026-08-25</x:v>
      </x:c>
      <x:c r="H89" s="67" t="str">
        <x:v>Kallio Software Oy</x:v>
      </x:c>
      <x:c r="I89" s="67" t="str">
        <x:v>IT services</x:v>
      </x:c>
      <x:c r="J89" s="67" t="str">
        <x:v>Finland – Computer-related professional services – Tietoturvapäällikkö -palveluna</x:v>
      </x:c>
      <x:c r="K89" s="67" t="str">
        <x:v>72590000</x:v>
      </x:c>
      <x:c r="L89" s="67" t="str">
        <x:v>Hankinnan kohteena on Tilaajan tietoturvapäällikkö palveluna (CISO palveluna). Palvelun tavoitteena on varmistaa, että Tilaajan ja sen omistajakassojen tiedot, järjestelmät ja palvelut ovat suojattuja, vaatimustenmukaisia sekä liiketoiminnan tavoitteita tukevia. Tietoturvapäällikkö toimii strategisessa ja ohjaavassa roolissa suhteessa Tilaajan IT-t</x:v>
      </x:c>
      <x:c r="M89" s="67" t="str">
        <x:v>https://ted.europa.eu/en/notice/-/detail/586092-2026</x:v>
      </x:c>
      <x:c r="N89" s="68" t="str">
        <x:v>AI-assisted draft</x:v>
      </x:c>
      <x:c r="O89" s="70" t="str"/>
      <x:c r="P89" s="66" t="str">
        <x:v>Draft complete</x:v>
      </x:c>
    </x:row>
    <x:row r="90" ht="84" customHeight="1">
      <x:c r="A90" s="66" t="str">
        <x:v>R1-089</x:v>
      </x:c>
      <x:c r="B90" s="66" t="str">
        <x:v>545737-2026</x:v>
      </x:c>
      <x:c r="C90" s="66" t="str">
        <x:v>BEL</x:v>
      </x:c>
      <x:c r="D90" s="68" t="str">
        <x:v>Not relevant</x:v>
      </x:c>
      <x:c r="E90" s="68" t="str">
        <x:v>High</x:v>
      </x:c>
      <x:c r="F90" s="69" t="str">
        <x:v>The framework covers road-infrastructure engineering, surveys and environmental studies.</x:v>
      </x:c>
      <x:c r="G90" s="67" t="str">
        <x:v>2026-08-06</x:v>
      </x:c>
      <x:c r="H90" s="67" t="str">
        <x:v>Vlaamse Overheid</x:v>
      </x:c>
      <x:c r="I90" s="67" t="str">
        <x:v>IT services</x:v>
      </x:c>
      <x:c r="J90" s="67" t="str">
        <x:v>Belgium – Survey services – WA/INV/2026/2 Raamovereenkomst diensten voor diverse infrastructuurprojecten op gewestwegen – Wegen Antwerpen</x:v>
      </x:c>
      <x:c r="K90" s="67" t="str">
        <x:v>79311000, 79930000, 71300000, 73110000, 71311210, 75130000, 71320000, 71311300, 71000000, 72242000, 71220000, 71313400, 71322000, 71322300, 71313440, 71322500, 71355000, 71241000, 45111250, 71242000, 71243000, 71244000, 71247000, 71400000</x:v>
      </x:c>
      <x:c r="L90" s="67" t="str">
        <x:v>De diensten binnen het kader van deze raamovereenkomst omvatten (niet-limitatief): - Het uitvoeren van haalbaarheidsstudies en onderzoeken gerelateerd aan infrastructuurprojecten en mobiliteit; - De studie en het ontwerp voor infrastructuurprojecten in de breedste zin, desgevallend incl. vervanging van bestaande riolering door een gescheiden stelse</x:v>
      </x:c>
      <x:c r="M90" s="67" t="str">
        <x:v>https://ted.europa.eu/en/notice/-/detail/545737-2026</x:v>
      </x:c>
      <x:c r="N90" s="68" t="str">
        <x:v>AI-assisted draft</x:v>
      </x:c>
      <x:c r="O90" s="70" t="str"/>
      <x:c r="P90" s="66" t="str">
        <x:v>Draft complete</x:v>
      </x:c>
    </x:row>
    <x:row r="91" ht="84" customHeight="1">
      <x:c r="A91" s="66" t="str">
        <x:v>R1-090</x:v>
      </x:c>
      <x:c r="B91" s="66" t="str">
        <x:v>361323-2026</x:v>
      </x:c>
      <x:c r="C91" s="66" t="str">
        <x:v>BEL</x:v>
      </x:c>
      <x:c r="D91" s="68" t="str">
        <x:v>Relevant</x:v>
      </x:c>
      <x:c r="E91" s="68" t="str">
        <x:v>High</x:v>
      </x:c>
      <x:c r="F91" s="69" t="str">
        <x:v>Integrated statistical and market-analytics databases are the procurement substance.</x:v>
      </x:c>
      <x:c r="G91" s="67" t="str">
        <x:v>2026-05-27</x:v>
      </x:c>
      <x:c r="H91" s="67" t="str">
        <x:v>Vlaamse Universiteiten en Hogescholen Raad</x:v>
      </x:c>
      <x:c r="I91" s="67" t="str">
        <x:v>Software packages and information systems</x:v>
      </x:c>
      <x:c r="J91" s="67" t="str">
        <x:v>Belgium – Technical publications – Opdracht tot het sluiten van een raamovereenkomst voor de levering van geïntegreerde statistische en marktanalytische databanken</x:v>
      </x:c>
      <x:c r="K91" s="67" t="str">
        <x:v>22121000, 48610000, 48611000, 22120000, 48161000, 48600000</x:v>
      </x:c>
      <x:c r="L91" s="67" t="str">
        <x:v>Opdracht tot het sluiten van een raamovereenkomst voor levering van geïntegreerde statistische en marktanalytische databank Opdracht tot het sluiten van een raamovereenkomst voor levering van geïntegreerde statistische en marktanalytische databank</x:v>
      </x:c>
      <x:c r="M91" s="67" t="str">
        <x:v>https://ted.europa.eu/en/notice/-/detail/361323-2026</x:v>
      </x:c>
      <x:c r="N91" s="68" t="str">
        <x:v>AI-assisted draft</x:v>
      </x:c>
      <x:c r="O91" s="70" t="str"/>
      <x:c r="P91" s="66" t="str">
        <x:v>Draft complete</x:v>
      </x:c>
    </x:row>
    <x:row r="92" ht="84" customHeight="1">
      <x:c r="A92" s="66" t="str">
        <x:v>R1-091</x:v>
      </x:c>
      <x:c r="B92" s="66" t="str">
        <x:v>536727-2026</x:v>
      </x:c>
      <x:c r="C92" s="66" t="str">
        <x:v>ITA</x:v>
      </x:c>
      <x:c r="D92" s="68" t="str">
        <x:v>Not relevant</x:v>
      </x:c>
      <x:c r="E92" s="68" t="str">
        <x:v>High</x:v>
      </x:c>
      <x:c r="F92" s="69" t="str">
        <x:v>The contract is generic maintenance of legacy, CRM and ServiceNow systems.</x:v>
      </x:c>
      <x:c r="G92" s="67" t="str">
        <x:v>2026-08-03</x:v>
      </x:c>
      <x:c r="H92" s="67" t="str">
        <x:v>ANAS SPA</x:v>
      </x:c>
      <x:c r="I92" s="67" t="str">
        <x:v>IT services</x:v>
      </x:c>
      <x:c r="J92" s="67" t="str">
        <x:v>Italy – Programming services of application software – DGACQ 11-26 Servizi di manutenzione correttiva, evolutiva e per servizi di supporto dei sistemi legacy, CRM e Service Now, in regime di Accordo Quadro, in regime di Accordo Quadro.</x:v>
      </x:c>
      <x:c r="K92" s="67" t="str">
        <x:v>72212000</x:v>
      </x:c>
      <x:c r="L92" s="67" t="str">
        <x:v>DGACQ 11-26 Servizi di manutenzione correttiva, evolutiva e per servizi di supporto dei sistemi legacy, CRM e Service Now, in regime di Accordo Quadro. DGACQ 11-26 Servizi di manutenzione correttiva, evolutiva e per servizi di supporto dei sistemi legacy, CRM e Service Now, in regime di Accordo Quadro.</x:v>
      </x:c>
      <x:c r="M92" s="67" t="str">
        <x:v>https://ted.europa.eu/en/notice/-/detail/536727-2026</x:v>
      </x:c>
      <x:c r="N92" s="68" t="str">
        <x:v>AI-assisted draft</x:v>
      </x:c>
      <x:c r="O92" s="70" t="str"/>
      <x:c r="P92" s="66" t="str">
        <x:v>Draft complete</x:v>
      </x:c>
    </x:row>
    <x:row r="93" ht="84" customHeight="1">
      <x:c r="A93" s="66" t="str">
        <x:v>R1-092</x:v>
      </x:c>
      <x:c r="B93" s="66" t="str">
        <x:v>384425-2025</x:v>
      </x:c>
      <x:c r="C93" s="66" t="str">
        <x:v>ITA</x:v>
      </x:c>
      <x:c r="D93" s="68" t="str">
        <x:v>Not relevant</x:v>
      </x:c>
      <x:c r="E93" s="68" t="str">
        <x:v>High</x:v>
      </x:c>
      <x:c r="F93" s="69" t="str">
        <x:v>The procurement is university fiber-optic connectivity.</x:v>
      </x:c>
      <x:c r="G93" s="67" t="str">
        <x:v>2025-06-13</x:v>
      </x:c>
      <x:c r="H93" s="67" t="str">
        <x:v>Centrale Acquisti</x:v>
      </x:c>
      <x:c r="I93" s="67" t="str">
        <x:v>IT services</x:v>
      </x:c>
      <x:c r="J93" s="67" t="str">
        <x:v>Italy – Wide area network services – Procedura aperta, ex art. 71 D.lgs. 36/2023, per il servizio di connettività in fibra ottica per le sedi dell'Università di Bergamo</x:v>
      </x:c>
      <x:c r="K93" s="67" t="str">
        <x:v>72720000</x:v>
      </x:c>
      <x:c r="L93" s="67" t="str">
        <x:v>Procedura aperta, ex art. 71 D.lgs. 36/2023, per il servizio di connettività in fibra ottica per le sedi dell'Università di Bergamo Procedura aperta, ex art. 71 D.lgs. 36/2023, per il servizio di connettività in fibra ottica per le sedi dell'Università di Bergamo</x:v>
      </x:c>
      <x:c r="M93" s="67" t="str">
        <x:v>https://ted.europa.eu/en/notice/-/detail/384425-2025</x:v>
      </x:c>
      <x:c r="N93" s="68" t="str">
        <x:v>AI-assisted draft</x:v>
      </x:c>
      <x:c r="O93" s="70" t="str"/>
      <x:c r="P93" s="66" t="str">
        <x:v>Draft complete</x:v>
      </x:c>
    </x:row>
    <x:row r="94" ht="84" customHeight="1">
      <x:c r="A94" s="66" t="str">
        <x:v>R1-093</x:v>
      </x:c>
      <x:c r="B94" s="66" t="str">
        <x:v>555113-2024</x:v>
      </x:c>
      <x:c r="C94" s="66" t="str">
        <x:v>BEL</x:v>
      </x:c>
      <x:c r="D94" s="68" t="str">
        <x:v>Not relevant</x:v>
      </x:c>
      <x:c r="E94" s="68" t="str">
        <x:v>High</x:v>
      </x:c>
      <x:c r="F94" s="69" t="str">
        <x:v>The scope is an electronic-payment platform.</x:v>
      </x:c>
      <x:c r="G94" s="67" t="str">
        <x:v>2024-09-16</x:v>
      </x:c>
      <x:c r="H94" s="67" t="str">
        <x:v>MLOZ IT vzw</x:v>
      </x:c>
      <x:c r="I94" s="67" t="str">
        <x:v>IT services</x:v>
      </x:c>
      <x:c r="J94" s="67" t="str">
        <x:v>Belgium – IT services: consulting, software development, Internet and support – Plateforme d’ePayment</x:v>
      </x:c>
      <x:c r="K94" s="67" t="str">
        <x:v>72000000</x:v>
      </x:c>
      <x:c r="L94" s="67" t="str">
        <x:v>Services d’une plateforme d’ePayment Diensten voor e-betalingsplatform Plateforme d’ePayment Platform voor e-betalingen</x:v>
      </x:c>
      <x:c r="M94" s="67" t="str">
        <x:v>https://ted.europa.eu/en/notice/-/detail/555113-2024</x:v>
      </x:c>
      <x:c r="N94" s="68" t="str">
        <x:v>AI-assisted draft</x:v>
      </x:c>
      <x:c r="O94" s="70" t="str"/>
      <x:c r="P94" s="66" t="str">
        <x:v>Draft complete</x:v>
      </x:c>
    </x:row>
    <x:row r="95" ht="84" customHeight="1">
      <x:c r="A95" s="66" t="str">
        <x:v>R1-094</x:v>
      </x:c>
      <x:c r="B95" s="66" t="str">
        <x:v>53845-2025</x:v>
      </x:c>
      <x:c r="C95" s="66" t="str">
        <x:v>FIN</x:v>
      </x:c>
      <x:c r="D95" s="68" t="str">
        <x:v>Not relevant</x:v>
      </x:c>
      <x:c r="E95" s="68" t="str">
        <x:v>High</x:v>
      </x:c>
      <x:c r="F95" s="69" t="str">
        <x:v>The broad design-software renewal includes one AI-assistant license only incidentally.</x:v>
      </x:c>
      <x:c r="G95" s="67" t="str">
        <x:v>2025-01-27</x:v>
      </x:c>
      <x:c r="H95" s="67" t="str">
        <x:v>TEKNOLOGIAN TUTKIMUSKESKUS VTT OY</x:v>
      </x:c>
      <x:c r="I95" s="67" t="str">
        <x:v>IT services</x:v>
      </x:c>
      <x:c r="J95" s="67" t="str">
        <x:v>Finland – IT services: consulting, software development, Internet and support – Renewals of Software License Maintenance and Support Services</x:v>
      </x:c>
      <x:c r="K95" s="67" t="str">
        <x:v>72000000, 72260000</x:v>
      </x:c>
      <x:c r="L95" s="67" t="str">
        <x:v>VTT (Contracting Authority) aims to acquire a three-year extension period for the maintenance of software licenses in use. The timing of the agreement period varies with respect to the licenses to be acquired, and more detailed information is provided in the request for tender. VTT currently utilizes the software in question for research and busine</x:v>
      </x:c>
      <x:c r="M95" s="67" t="str">
        <x:v>https://ted.europa.eu/en/notice/-/detail/53845-2025</x:v>
      </x:c>
      <x:c r="N95" s="68" t="str">
        <x:v>AI-assisted draft</x:v>
      </x:c>
      <x:c r="O95" s="70" t="str"/>
      <x:c r="P95" s="66" t="str">
        <x:v>Draft complete</x:v>
      </x:c>
    </x:row>
    <x:row r="96" ht="84" customHeight="1">
      <x:c r="A96" s="66" t="str">
        <x:v>R1-095</x:v>
      </x:c>
      <x:c r="B96" s="66" t="str">
        <x:v>586595-2026</x:v>
      </x:c>
      <x:c r="C96" s="66" t="str">
        <x:v>FIN</x:v>
      </x:c>
      <x:c r="D96" s="68" t="str">
        <x:v>Not relevant</x:v>
      </x:c>
      <x:c r="E96" s="68" t="str">
        <x:v>High</x:v>
      </x:c>
      <x:c r="F96" s="69" t="str">
        <x:v>The scope is internet, fiber, DNS and DDoS connectivity.</x:v>
      </x:c>
      <x:c r="G96" s="67" t="str">
        <x:v>2026-08-25</x:v>
      </x:c>
      <x:c r="H96" s="67" t="str">
        <x:v>Keva</x:v>
      </x:c>
      <x:c r="I96" s="67" t="str">
        <x:v>IT services</x:v>
      </x:c>
      <x:c r="J96" s="67" t="str">
        <x:v>Finland – Internet service providers ISP – Tietoliikenneliittymät</x:v>
      </x:c>
      <x:c r="K96" s="67" t="str">
        <x:v>72411000, 72720000</x:v>
      </x:c>
      <x:c r="L96" s="67" t="str">
        <x:v>Keva (myöhemmin myös Tilaaja) pyytää tarjouksia liittymien hankinnasta. Hankinnan kohteena on liittymät (internet, kuidut ja Express Routet) sekä internet-liittymiin tarvittavan DDOS-suojauksen. Myös Domain- ja DNS-palvelut sisältyvät hankintaan. Tilaaja ei sitoudu mihinkään hankintamääriin. Hankinta on jaettu kahteen (2) osa-alueeseen. Osa-alue 1:</x:v>
      </x:c>
      <x:c r="M96" s="67" t="str">
        <x:v>https://ted.europa.eu/en/notice/-/detail/586595-2026</x:v>
      </x:c>
      <x:c r="N96" s="68" t="str">
        <x:v>AI-assisted draft</x:v>
      </x:c>
      <x:c r="O96" s="70" t="str"/>
      <x:c r="P96" s="66" t="str">
        <x:v>Draft complete</x:v>
      </x:c>
    </x:row>
    <x:row r="97" ht="84" customHeight="1">
      <x:c r="A97" s="66" t="str">
        <x:v>R1-096</x:v>
      </x:c>
      <x:c r="B97" s="66" t="str">
        <x:v>544706-2026</x:v>
      </x:c>
      <x:c r="C97" s="66" t="str">
        <x:v>BEL</x:v>
      </x:c>
      <x:c r="D97" s="68" t="str">
        <x:v>Relevant</x:v>
      </x:c>
      <x:c r="E97" s="68" t="str">
        <x:v>Medium</x:v>
      </x:c>
      <x:c r="F97" s="69" t="str">
        <x:v>The integrated HR platform materially includes master data, dashboards, reporting and analytics.</x:v>
      </x:c>
      <x:c r="G97" s="67" t="str">
        <x:v>2026-08-06</x:v>
      </x:c>
      <x:c r="H97" s="67" t="str">
        <x:v>Ziekenhuis Oost-Limburg</x:v>
      </x:c>
      <x:c r="I97" s="67" t="str">
        <x:v>Software packages and information systems</x:v>
      </x:c>
      <x:c r="J97" s="67" t="str">
        <x:v>Belgium – Time accounting or human resources software package – Digitalisatie van HR-processen in het Ziekenhuis Oost-Limburg</x:v>
      </x:c>
      <x:c r="K97" s="67" t="str">
        <x:v>48450000</x:v>
      </x:c>
      <x:c r="L97" s="67" t="str">
        <x:v>Momenteel wordt binnen het departement Personeelszaken van het ZOL gewerkt met diverse HR systemen die niet of slechts beperkt met elkaar geïntegreerd zijn hetgeen het onderhoud over verschillende systemen voor onze doelgroepen moeilijk maakt. De functionaliteiten die vandaag aangeboden worden voldoen niet meer aan de huidige en toekomstige HR node</x:v>
      </x:c>
      <x:c r="M97" s="67" t="str">
        <x:v>https://ted.europa.eu/en/notice/-/detail/544706-2026</x:v>
      </x:c>
      <x:c r="N97" s="68" t="str">
        <x:v>AI-assisted draft</x:v>
      </x:c>
      <x:c r="O97" s="70" t="str"/>
      <x:c r="P97" s="66" t="str">
        <x:v>Needs human review</x:v>
      </x:c>
    </x:row>
    <x:row r="98" ht="84" customHeight="1">
      <x:c r="A98" s="66" t="str">
        <x:v>R1-097</x:v>
      </x:c>
      <x:c r="B98" s="66" t="str">
        <x:v>444754-2026</x:v>
      </x:c>
      <x:c r="C98" s="66" t="str">
        <x:v>FIN</x:v>
      </x:c>
      <x:c r="D98" s="68" t="str">
        <x:v>Relevant</x:v>
      </x:c>
      <x:c r="E98" s="68" t="str">
        <x:v>High</x:v>
      </x:c>
      <x:c r="F98" s="69" t="str">
        <x:v>The service collects registry data and performs systematic analysis and risk assessment.</x:v>
      </x:c>
      <x:c r="G98" s="67" t="str">
        <x:v>2026-06-29</x:v>
      </x:c>
      <x:c r="H98" s="67" t="str">
        <x:v>Senaatti-kiinteistöt Puolustuskiinteistöt</x:v>
      </x:c>
      <x:c r="I98" s="67" t="str">
        <x:v>IT services</x:v>
      </x:c>
      <x:c r="J98" s="67" t="str">
        <x:v>Finland – Business analysis consultancy services – Yritystaustan arviointipalvelu</x:v>
      </x:c>
      <x:c r="K98" s="67" t="str">
        <x:v>72221000, 72260000, 72316000</x:v>
      </x:c>
      <x:c r="L98" s="67" t="str">
        <x:v>Senaatti-kiinteistöt pyytää osallistumishakemuksia Yritystaustan arviointipalvelua koskevaan hankintaan varsinaiselle sopimuskaudelle 11.1.2027 - 10.1.2030 (ja optio 1+1 vuotta). Yritystaustan arviointipalvelun tarkoituksena on tuottaa luotettava ja kokonaisvaltainen arvio yrityksen sekä luonnollisen henkilön toiminnan luotettavuudesta päätöksenteo</x:v>
      </x:c>
      <x:c r="M98" s="67" t="str">
        <x:v>https://ted.europa.eu/en/notice/-/detail/444754-2026</x:v>
      </x:c>
      <x:c r="N98" s="68" t="str">
        <x:v>AI-assisted draft</x:v>
      </x:c>
      <x:c r="O98" s="70" t="str"/>
      <x:c r="P98" s="66" t="str">
        <x:v>Draft complete</x:v>
      </x:c>
    </x:row>
    <x:row r="99" ht="84" customHeight="1">
      <x:c r="A99" s="66" t="str">
        <x:v>R1-098</x:v>
      </x:c>
      <x:c r="B99" s="66" t="str">
        <x:v>441063-2024</x:v>
      </x:c>
      <x:c r="C99" s="66" t="str">
        <x:v>BEL</x:v>
      </x:c>
      <x:c r="D99" s="68" t="str">
        <x:v>Not relevant</x:v>
      </x:c>
      <x:c r="E99" s="68" t="str">
        <x:v>High</x:v>
      </x:c>
      <x:c r="F99" s="69" t="str">
        <x:v>The fundraising platform's data export is an incidental application feature.</x:v>
      </x:c>
      <x:c r="G99" s="67" t="str">
        <x:v>2024-07-23</x:v>
      </x:c>
      <x:c r="H99" s="67" t="str">
        <x:v>VRT</x:v>
      </x:c>
      <x:c r="I99" s="67" t="str">
        <x:v>Software packages and information systems</x:v>
      </x:c>
      <x:c r="J99" s="67" t="str">
        <x:v>Belgium – Programming languages and tools – Platform voor fondsenwerving</x:v>
      </x:c>
      <x:c r="K99" s="67" t="str">
        <x:v>48980000</x:v>
      </x:c>
      <x:c r="L99" s="67" t="str">
        <x:v>Vanuit de VRT zijn we op zoek naar een partner die ons een online platform voor fondsenwerving kan leveren in het kader van De Warmste Week. Het dient een platform te zijn waar actievoerders en goede doelen hun deelname kunnen beheren en waar campagnes kunnen worden opgeladen. Belangrijke features zijn: - Het registreren van acties en het bijhouden</x:v>
      </x:c>
      <x:c r="M99" s="67" t="str">
        <x:v>https://ted.europa.eu/en/notice/-/detail/441063-2024</x:v>
      </x:c>
      <x:c r="N99" s="68" t="str">
        <x:v>AI-assisted draft</x:v>
      </x:c>
      <x:c r="O99" s="70" t="str"/>
      <x:c r="P99" s="66" t="str">
        <x:v>Draft complete</x:v>
      </x:c>
    </x:row>
    <x:row r="100" ht="84" customHeight="1">
      <x:c r="A100" s="66" t="str">
        <x:v>R1-099</x:v>
      </x:c>
      <x:c r="B100" s="66" t="str">
        <x:v>594917-2026</x:v>
      </x:c>
      <x:c r="C100" s="66" t="str">
        <x:v>ITA</x:v>
      </x:c>
      <x:c r="D100" s="68" t="str">
        <x:v>Not relevant</x:v>
      </x:c>
      <x:c r="E100" s="68" t="str">
        <x:v>Medium</x:v>
      </x:c>
      <x:c r="F100" s="69" t="str">
        <x:v>The contract is telecontrol maintenance for water facilities without a stated analytics or data-platform scope.</x:v>
      </x:c>
      <x:c r="G100" s="67" t="str">
        <x:v>2026-08-28</x:v>
      </x:c>
      <x:c r="H100" s="67" t="str">
        <x:v>Viva Servizi S.p.A.</x:v>
      </x:c>
      <x:c r="I100" s="67" t="str">
        <x:v>IT services</x:v>
      </x:c>
      <x:c r="J100" s="67" t="str">
        <x:v>Italy – Software integration consultancy services – Servizio di manutenzione e assistenza in ambito telecontrollo e fornitura di apparati degli impianti del servizio idrico (captazione, adduzione, distribuzione)</x:v>
      </x:c>
      <x:c r="K100" s="67" t="str">
        <x:v>72227000, 72228000, 32441200</x:v>
      </x:c>
      <x:c r="L100" s="67" t="str">
        <x:v>Servizio di manutenzione e assistenza in ambito telecontrollo e fornitura di apparati degli impianti del servizio idrico (captazione, adduzione, distribuzione) Servizio di manutenzione e assistenza in ambito telecontrollo e fornitura di apparati degli impianti del servizio idrico (captazione, adduzione, distribuzione)</x:v>
      </x:c>
      <x:c r="M100" s="67" t="str">
        <x:v>https://ted.europa.eu/en/notice/-/detail/594917-2026</x:v>
      </x:c>
      <x:c r="N100" s="68" t="str">
        <x:v>AI-assisted draft</x:v>
      </x:c>
      <x:c r="O100" s="70" t="str"/>
      <x:c r="P100" s="66" t="str">
        <x:v>Needs human review</x:v>
      </x:c>
    </x:row>
    <x:row r="101" ht="84" customHeight="1">
      <x:c r="A101" s="66" t="str">
        <x:v>R1-100</x:v>
      </x:c>
      <x:c r="B101" s="66" t="str">
        <x:v>523801-2026</x:v>
      </x:c>
      <x:c r="C101" s="66" t="str">
        <x:v>FIN</x:v>
      </x:c>
      <x:c r="D101" s="68" t="str">
        <x:v>Not relevant</x:v>
      </x:c>
      <x:c r="E101" s="68" t="str">
        <x:v>High</x:v>
      </x:c>
      <x:c r="F101" s="69" t="str">
        <x:v>The notice supplies mobile connectivity for streaming audio publications.</x:v>
      </x:c>
      <x:c r="G101" s="67" t="str">
        <x:v>2026-07-29</x:v>
      </x:c>
      <x:c r="H101" s="67" t="str">
        <x:v>Näkövammaisten liitto ry</x:v>
      </x:c>
      <x:c r="I101" s="67" t="str">
        <x:v>IT services</x:v>
      </x:c>
      <x:c r="J101" s="67" t="str">
        <x:v>Finland – Electronic message and information services – Mobiilidatayhteydet ja niiden oheispalvelut</x:v>
      </x:c>
      <x:c r="K101" s="67" t="str">
        <x:v>64216000, 64216110, 72720000</x:v>
      </x:c>
      <x:c r="L101" s="67" t="str">
        <x:v>Pyydämme tarjoustanne tämän tarjouspyynnön mukaisesta tiedonsiirtopalvelusta, joka mahdollistaa äänijulkaisujen suoratoiston ja lataamisen mobiiliyhteydellä Manner-Suomessa. Tarjottu palvelu on osa julkisella avustuksella tarjoamaamme äänijulkaisujen kuuntelupalvelua. Asiakasviestinnässämme ja sisäisesti käytämme palvelusta nimeä Kuuntelukaista. Pa</x:v>
      </x:c>
      <x:c r="M101" s="67" t="str">
        <x:v>https://ted.europa.eu/en/notice/-/detail/523801-2026</x:v>
      </x:c>
      <x:c r="N101" s="68" t="str">
        <x:v>AI-assisted draft</x:v>
      </x:c>
      <x:c r="O101" s="70" t="str"/>
      <x:c r="P101" s="66" t="str">
        <x:v>Draft complete</x:v>
      </x:c>
    </x:row>
    <x:row r="102" ht="84" customHeight="1">
      <x:c r="A102" s="66" t="str">
        <x:v>R1-101</x:v>
      </x:c>
      <x:c r="B102" s="66" t="str">
        <x:v>583609-2026</x:v>
      </x:c>
      <x:c r="C102" s="66" t="str">
        <x:v>ITA</x:v>
      </x:c>
      <x:c r="D102" s="68" t="str">
        <x:v>Relevant</x:v>
      </x:c>
      <x:c r="E102" s="68" t="str">
        <x:v>High</x:v>
      </x:c>
      <x:c r="F102" s="69" t="str">
        <x:v>A material development lot explicitly delivers services in Azure Databricks.</x:v>
      </x:c>
      <x:c r="G102" s="67" t="str">
        <x:v>2026-08-24</x:v>
      </x:c>
      <x:c r="H102" s="67" t="str">
        <x:v>European Food Safety Authority</x:v>
      </x:c>
      <x:c r="I102" s="67" t="str">
        <x:v>IT services</x:v>
      </x:c>
      <x:c r="J102" s="67" t="str">
        <x:v>Italy – IT services: consulting, software development, Internet and support – SPOC, IT RUN and IT Development, Managed and Corporate Services</x:v>
      </x:c>
      <x:c r="K102" s="67" t="str">
        <x:v>72000000</x:v>
      </x:c>
      <x:c r="L102" s="67" t="str">
        <x:v>This call for tenders is divided into 4 lots. Lot 1 will provide a Single Point of Contact (SPOC), managed IT RUN services and technical consultancy. Lot 2 will bring to EFSA IT Development services based on sprint deliveries in Azure databricks together with Lot 3 for the ancillary IT services and consultancy. Lot 4 will deliver Corporate Managed </x:v>
      </x:c>
      <x:c r="M102" s="67" t="str">
        <x:v>https://ted.europa.eu/en/notice/-/detail/583609-2026</x:v>
      </x:c>
      <x:c r="N102" s="68" t="str">
        <x:v>AI-assisted draft</x:v>
      </x:c>
      <x:c r="O102" s="70" t="str"/>
      <x:c r="P102" s="66" t="str">
        <x:v>Draft complete</x:v>
      </x:c>
    </x:row>
    <x:row r="103" ht="84" customHeight="1">
      <x:c r="A103" s="66" t="str">
        <x:v>R1-102</x:v>
      </x:c>
      <x:c r="B103" s="66" t="str">
        <x:v>857006-2025</x:v>
      </x:c>
      <x:c r="C103" s="66" t="str">
        <x:v>ITA</x:v>
      </x:c>
      <x:c r="D103" s="68" t="str">
        <x:v>Unsure</x:v>
      </x:c>
      <x:c r="E103" s="68" t="str">
        <x:v>Low</x:v>
      </x:c>
      <x:c r="F103" s="69" t="str">
        <x:v>The notice says only digital services and provides no defensible technical scope.</x:v>
      </x:c>
      <x:c r="G103" s="67" t="str">
        <x:v>2025-12-23</x:v>
      </x:c>
      <x:c r="H103" s="67" t="str">
        <x:v>Scuola Superiore Meridionale</x:v>
      </x:c>
      <x:c r="I103" s="67" t="str">
        <x:v>IT services</x:v>
      </x:c>
      <x:c r="J103" s="67" t="str">
        <x:v>Italy – IT services: consulting, software development, Internet and support – Servizi digitali per la Scuola Superiore Meridionale</x:v>
      </x:c>
      <x:c r="K103" s="67" t="str">
        <x:v>72000000</x:v>
      </x:c>
      <x:c r="L103" s="67" t="str">
        <x:v>Servizi digitali per la Scuola Superiore Meridionale</x:v>
      </x:c>
      <x:c r="M103" s="67" t="str">
        <x:v>https://ted.europa.eu/en/notice/-/detail/857006-2025</x:v>
      </x:c>
      <x:c r="N103" s="68" t="str">
        <x:v>AI-assisted draft</x:v>
      </x:c>
      <x:c r="O103" s="70" t="str"/>
      <x:c r="P103" s="66" t="str">
        <x:v>Needs human review</x:v>
      </x:c>
    </x:row>
    <x:row r="104" ht="84" customHeight="1">
      <x:c r="A104" s="66" t="str">
        <x:v>R1-103</x:v>
      </x:c>
      <x:c r="B104" s="66" t="str">
        <x:v>190127-2025</x:v>
      </x:c>
      <x:c r="C104" s="66" t="str">
        <x:v>BEL</x:v>
      </x:c>
      <x:c r="D104" s="68" t="str">
        <x:v>Relevant</x:v>
      </x:c>
      <x:c r="E104" s="68" t="str">
        <x:v>Medium</x:v>
      </x:c>
      <x:c r="F104" s="69" t="str">
        <x:v>The managed hybrid data-center environment materially hosts databases, files and cloud workloads.</x:v>
      </x:c>
      <x:c r="G104" s="67" t="str">
        <x:v>2025-03-25</x:v>
      </x:c>
      <x:c r="H104" s="67" t="str">
        <x:v>Vlaamse Overheid</x:v>
      </x:c>
      <x:c r="I104" s="67" t="str">
        <x:v>IT services</x:v>
      </x:c>
      <x:c r="J104" s="67" t="str">
        <x:v>Belgium – Data network support services – Onderhoud en afbouw van een bestaande private/publieke cloud-omgeving in voorbereiding op migratie naar publieke cloud Vlaamse Overheid</x:v>
      </x:c>
      <x:c r="K104" s="67" t="str">
        <x:v>72315100, 72315200, 72500000, 72700000, 72710000, 72720000</x:v>
      </x:c>
      <x:c r="L104" s="67" t="str">
        <x:v>Deze opdracht betreft het beheren en onderhouden van een bestaande hybride datacenter infrastructuur op basis van een “pay per use”, IAAS-model (on-premise). De benodigde infrastructuur staat momenteel in een tier 3 datacenter, het beheer wordt opgenomen door een externe partner. De infrastructuur bestaat momenteel uit ongeveer 250 virtuele servers</x:v>
      </x:c>
      <x:c r="M104" s="67" t="str">
        <x:v>https://ted.europa.eu/en/notice/-/detail/190127-2025</x:v>
      </x:c>
      <x:c r="N104" s="68" t="str">
        <x:v>AI-assisted draft</x:v>
      </x:c>
      <x:c r="O104" s="70" t="str"/>
      <x:c r="P104" s="66" t="str">
        <x:v>Needs human review</x:v>
      </x:c>
    </x:row>
    <x:row r="105" ht="84" customHeight="1">
      <x:c r="A105" s="66" t="str">
        <x:v>R1-104</x:v>
      </x:c>
      <x:c r="B105" s="66" t="str">
        <x:v>192870-2026</x:v>
      </x:c>
      <x:c r="C105" s="66" t="str">
        <x:v>ITA</x:v>
      </x:c>
      <x:c r="D105" s="68" t="str">
        <x:v>Relevant</x:v>
      </x:c>
      <x:c r="E105" s="68" t="str">
        <x:v>High</x:v>
      </x:c>
      <x:c r="F105" s="69" t="str">
        <x:v>The platforms collect, exchange and collaboratively analyze anonymized clinical and imaging data.</x:v>
      </x:c>
      <x:c r="G105" s="67" t="str">
        <x:v>2026-03-19</x:v>
      </x:c>
      <x:c r="H105" s="67" t="str">
        <x:v>ORG-0001</x:v>
      </x:c>
      <x:c r="I105" s="67" t="str">
        <x:v>IT services</x:v>
      </x:c>
      <x:c r="J105" s="67" t="str">
        <x:v>Italy – Software supply services – Procedura di gara aperta aggregata, ai sensi della L. 120/2020, per l’acquisizione della licenza software per l’utilizzo della piattaforma sicura per la ricerca in ambito imaging per studi clinici cloud-native (lotto 1) e della piattaforma progettata per la raccolta, lo scambio e l’analisi (lotto 2)</x:v>
      </x:c>
      <x:c r="K105" s="67" t="str">
        <x:v>72268000</x:v>
      </x:c>
      <x:c r="L105" s="67" t="str">
        <x:v>Procedura di gara aperta aggregata, suddivisa in lotti, ai sensi della L. 120/2020, per l’acquisizione della licenza software per l’utilizzo della piattaforma sicura per la ricerca in ambito imaging per studi clinici cloud-native (lotto 1) e della piattaforma progettata per la raccolta, lo scambio e l’analisi collaborativa e multicentrica, sicura e</x:v>
      </x:c>
      <x:c r="M105" s="67" t="str">
        <x:v>https://ted.europa.eu/en/notice/-/detail/192870-2026</x:v>
      </x:c>
      <x:c r="N105" s="68" t="str">
        <x:v>AI-assisted draft</x:v>
      </x:c>
      <x:c r="O105" s="70" t="str"/>
      <x:c r="P105" s="66" t="str">
        <x:v>Draft complete</x:v>
      </x:c>
    </x:row>
    <x:row r="106" ht="84" customHeight="1">
      <x:c r="A106" s="66" t="str">
        <x:v>R1-105</x:v>
      </x:c>
      <x:c r="B106" s="66" t="str">
        <x:v>821673-2025</x:v>
      </x:c>
      <x:c r="C106" s="66" t="str">
        <x:v>FIN</x:v>
      </x:c>
      <x:c r="D106" s="68" t="str">
        <x:v>Not relevant</x:v>
      </x:c>
      <x:c r="E106" s="68" t="str">
        <x:v>High</x:v>
      </x:c>
      <x:c r="F106" s="69" t="str">
        <x:v>The purchase is a generic project and portfolio-management system.</x:v>
      </x:c>
      <x:c r="G106" s="67" t="str">
        <x:v>2025-12-11</x:v>
      </x:c>
      <x:c r="H106" s="67" t="str">
        <x:v>Espoon kaupunki</x:v>
      </x:c>
      <x:c r="I106" s="67" t="str">
        <x:v>Software packages and information systems</x:v>
      </x:c>
      <x:c r="J106" s="67" t="str">
        <x:v>Finland – Software package and information systems – Salkunhallintajärjestelmän hankinta</x:v>
      </x:c>
      <x:c r="K106" s="67" t="str">
        <x:v>48000000, 72000000</x:v>
      </x:c>
      <x:c r="L106" s="67" t="str">
        <x:v>Espoon kaupunki (myöhemmin myös Tilaaja) pyytää tarjouksia salkunhallintajärjestelmästä sekä siihen liittyvistä käyttöönotto-, sovellusylläpito- ja tukipalveluista sekä ratkaisun jatkokehitys- ja asiantuntijapalveluista. Salkunhallintaratkaisu tulee kattamaan projektisalkun, IT-salkun, hankesalkun sekä konsernisalkun. Tarkempi kuvaus hankinnan sisä</x:v>
      </x:c>
      <x:c r="M106" s="67" t="str">
        <x:v>https://ted.europa.eu/en/notice/-/detail/821673-2025</x:v>
      </x:c>
      <x:c r="N106" s="68" t="str">
        <x:v>AI-assisted draft</x:v>
      </x:c>
      <x:c r="O106" s="70" t="str"/>
      <x:c r="P106" s="66" t="str">
        <x:v>Draft complete</x:v>
      </x:c>
    </x:row>
    <x:row r="107" ht="84" customHeight="1">
      <x:c r="A107" s="66" t="str">
        <x:v>R1-106</x:v>
      </x:c>
      <x:c r="B107" s="66" t="str">
        <x:v>386871-2026</x:v>
      </x:c>
      <x:c r="C107" s="66" t="str">
        <x:v>ITA</x:v>
      </x:c>
      <x:c r="D107" s="68" t="str">
        <x:v>Not relevant</x:v>
      </x:c>
      <x:c r="E107" s="68" t="str">
        <x:v>Medium</x:v>
      </x:c>
      <x:c r="F107" s="69" t="str">
        <x:v>The project is a metaverse and Web3 digital infrastructure without an explicit AI or data-engineering scope.</x:v>
      </x:c>
      <x:c r="G107" s="67" t="str">
        <x:v>2026-06-05</x:v>
      </x:c>
      <x:c r="H107" s="67" t="str">
        <x:v>AREA APPALTI E CONTRATTI</x:v>
      </x:c>
      <x:c r="I107" s="67" t="str">
        <x:v>IT services</x:v>
      </x:c>
      <x:c r="J107" s="67" t="str">
        <x:v>Italy – Design and execution of research and development – Gara europea a procedura aperta, gestita attraverso piattaforma telematica di negoziazione, per l'affidamento in concessione, ai sensi degli artt. 193 e ss. del D.lgs. 36/2023 e s.m.i., tramite finanza di progetto relativa alla progettazione, realizzazione e gestione di una infrastruttura tecnologica di innovazione di cui al progetto Infrastruttura Tecnologica di Innovazione (ITEC0000025) A Farm-t</x:v>
      </x:c>
      <x:c r="K107" s="67" t="str">
        <x:v>73300000, 72262000, 72500000, 72510000, 64226000</x:v>
      </x:c>
      <x:c r="L107" s="67" t="str">
        <x:v>Gara europea a procedura aperta, gestita attraverso piattaforma telematica di negoziazione, per l'affidamento in concessione, ai sensi degli artt. 193 e ss. del D.lgs. 36/2023 e s.m.i., tramite finanza di progetto relativa alla progettazione, realizzazione e gestione di una infrastruttura tecnologica di innovazione di cui al progetto Infrastruttura</x:v>
      </x:c>
      <x:c r="M107" s="67" t="str">
        <x:v>https://ted.europa.eu/en/notice/-/detail/386871-2026</x:v>
      </x:c>
      <x:c r="N107" s="68" t="str">
        <x:v>AI-assisted draft</x:v>
      </x:c>
      <x:c r="O107" s="70" t="str"/>
      <x:c r="P107" s="66" t="str">
        <x:v>Needs human review</x:v>
      </x:c>
    </x:row>
    <x:row r="108" ht="84" customHeight="1">
      <x:c r="A108" s="66" t="str">
        <x:v>R1-107</x:v>
      </x:c>
      <x:c r="B108" s="66" t="str">
        <x:v>369563-2026</x:v>
      </x:c>
      <x:c r="C108" s="66" t="str">
        <x:v>ITA</x:v>
      </x:c>
      <x:c r="D108" s="68" t="str">
        <x:v>Relevant</x:v>
      </x:c>
      <x:c r="E108" s="68" t="str">
        <x:v>Medium</x:v>
      </x:c>
      <x:c r="F108" s="69" t="str">
        <x:v>Cohesity maintenance covers a platform whose primary function is enterprise data protection and backup.</x:v>
      </x:c>
      <x:c r="G108" s="67" t="str">
        <x:v>2026-05-29</x:v>
      </x:c>
      <x:c r="H108" s="67" t="str">
        <x:v>Liguria Digitale S.p.a.</x:v>
      </x:c>
      <x:c r="I108" s="67" t="str">
        <x:v>IT services</x:v>
      </x:c>
      <x:c r="J108" s="67" t="str">
        <x:v>Italy – Software maintenance and repair services – Gara europea a procedura aperta indetta ai sensi del D.lgs. 36/2023 per l’acquisto del rinnovo della manutenzione hardware e delle licenze software, con upgrade di licenze software, dei prodotti Cohesity di Liguria Digitale.</x:v>
      </x:c>
      <x:c r="K108" s="67" t="str">
        <x:v>72267000</x:v>
      </x:c>
      <x:c r="L108" s="67" t="str">
        <x:v>per l’acquisto del rinnovo della manutenzione hardware e delle licenze software, con upgrade di licenze software, dei prodotti Cohesity di Liguria Digitale come meglio precisato nel Capitolato Tecnico. Gara europea a procedura aperta indetta ai sensi del D.lgs. 36/2023 per l’acquisto del rinnovo della manutenzione hardware e delle licenze software,</x:v>
      </x:c>
      <x:c r="M108" s="67" t="str">
        <x:v>https://ted.europa.eu/en/notice/-/detail/369563-2026</x:v>
      </x:c>
      <x:c r="N108" s="68" t="str">
        <x:v>AI-assisted draft</x:v>
      </x:c>
      <x:c r="O108" s="70" t="str"/>
      <x:c r="P108" s="66" t="str">
        <x:v>Needs human review</x:v>
      </x:c>
    </x:row>
    <x:row r="109" ht="84" customHeight="1">
      <x:c r="A109" s="66" t="str">
        <x:v>R1-108</x:v>
      </x:c>
      <x:c r="B109" s="66" t="str">
        <x:v>437249-2024</x:v>
      </x:c>
      <x:c r="C109" s="66" t="str">
        <x:v>BEL</x:v>
      </x:c>
      <x:c r="D109" s="68" t="str">
        <x:v>Not relevant</x:v>
      </x:c>
      <x:c r="E109" s="68" t="str">
        <x:v>High</x:v>
      </x:c>
      <x:c r="F109" s="69" t="str">
        <x:v>The term back-up means incident-response assistance; the scope is cybersecurity support.</x:v>
      </x:c>
      <x:c r="G109" s="67" t="str">
        <x:v>2024-07-22</x:v>
      </x:c>
      <x:c r="H109" s="67" t="str">
        <x:v>FOD Kanselarij van de Eerste Minister</x:v>
      </x:c>
      <x:c r="I109" s="67" t="str">
        <x:v>IT services</x:v>
      </x:c>
      <x:c r="J109" s="67" t="str">
        <x:v>Belgium – Computer back-up services – Incident Handling Back-UP (2 lots)</x:v>
      </x:c>
      <x:c r="K109" s="67" t="str">
        <x:v>72910000</x:v>
      </x:c>
      <x:c r="L109" s="67" t="str">
        <x:v>Le présent contrat est un marché public de services qui a pour objet des services d’appui au CERT.be pour la réponse aux incidents de cyber sécurité. Het doel van dit contract is om ondersteunende diensten te leveren aan CERT.be bij het reageren op cyberbeveiligingsincidenten. voir CSC voir CSC zie bestek zie bestek</x:v>
      </x:c>
      <x:c r="M109" s="67" t="str">
        <x:v>https://ted.europa.eu/en/notice/-/detail/437249-2024</x:v>
      </x:c>
      <x:c r="N109" s="68" t="str">
        <x:v>AI-assisted draft</x:v>
      </x:c>
      <x:c r="O109" s="70" t="str"/>
      <x:c r="P109" s="66" t="str">
        <x:v>Draft complete</x:v>
      </x:c>
    </x:row>
    <x:row r="110" ht="84" customHeight="1">
      <x:c r="A110" s="66" t="str">
        <x:v>R1-109</x:v>
      </x:c>
      <x:c r="B110" s="66" t="str">
        <x:v>543244-2026</x:v>
      </x:c>
      <x:c r="C110" s="66" t="str">
        <x:v>BEL</x:v>
      </x:c>
      <x:c r="D110" s="68" t="str">
        <x:v>Relevant</x:v>
      </x:c>
      <x:c r="E110" s="68" t="str">
        <x:v>High</x:v>
      </x:c>
      <x:c r="F110" s="69" t="str">
        <x:v>The asset-tracking system performs real-time collection, visualization, reporting and analysis.</x:v>
      </x:c>
      <x:c r="G110" s="67" t="str">
        <x:v>2026-08-05</x:v>
      </x:c>
      <x:c r="H110" s="67" t="str">
        <x:v>Universitair Ziekenhuis Gent</x:v>
      </x:c>
      <x:c r="I110" s="67" t="str">
        <x:v>IT services</x:v>
      </x:c>
      <x:c r="J110" s="67" t="str">
        <x:v>Belgium – Computer network services – Raamovereenkomst voor het leveren, plaatsen, installeren en onderhouden van een asset tracking systeem</x:v>
      </x:c>
      <x:c r="K110" s="67" t="str">
        <x:v>72700000, 50323000, 72267000</x:v>
      </x:c>
      <x:c r="L110" s="67" t="str">
        <x:v>Het Universitair Ziekenhuis Gent wenst een Bluetooth Low Energy (BLE)-gebaseerd asset tracking systeem te implementeren voor het real-time lokaliseren, beheren en analyseren van medische en verpleegkundige toestellen, niet-medische apparatuur en andere kritieke assets door alle gebouwen en faciliteiten binnen de ziekenhuiscampus. De opdracht omvat </x:v>
      </x:c>
      <x:c r="M110" s="67" t="str">
        <x:v>https://ted.europa.eu/en/notice/-/detail/543244-2026</x:v>
      </x:c>
      <x:c r="N110" s="68" t="str">
        <x:v>AI-assisted draft</x:v>
      </x:c>
      <x:c r="O110" s="70" t="str"/>
      <x:c r="P110" s="66" t="str">
        <x:v>Draft complete</x:v>
      </x:c>
    </x:row>
    <x:row r="111" ht="84" customHeight="1">
      <x:c r="A111" s="66" t="str">
        <x:v>R1-110</x:v>
      </x:c>
      <x:c r="B111" s="66" t="str">
        <x:v>475108-2025</x:v>
      </x:c>
      <x:c r="C111" s="66" t="str">
        <x:v>BEL</x:v>
      </x:c>
      <x:c r="D111" s="68" t="str">
        <x:v>Relevant</x:v>
      </x:c>
      <x:c r="E111" s="68" t="str">
        <x:v>High</x:v>
      </x:c>
      <x:c r="F111" s="69" t="str">
        <x:v>Automated measurement, data processing and network-coverage mapping are core deliverables.</x:v>
      </x:c>
      <x:c r="G111" s="67" t="str">
        <x:v>2025-07-21</x:v>
      </x:c>
      <x:c r="H111" s="67" t="str">
        <x:v>Belgisch Instituut voor postdiensten en telecommunicatie</x:v>
      </x:c>
      <x:c r="I111" s="67" t="str">
        <x:v>IT services</x:v>
      </x:c>
      <x:c r="J111" s="67" t="str">
        <x:v>Belgium – Data-processing services – Dekkingsmetingen van de Belgische spoorwegen</x:v>
      </x:c>
      <x:c r="K111" s="67" t="str">
        <x:v>72310000, 72316000, 72317000, 71350000, 72313000</x:v>
      </x:c>
      <x:c r="L111" s="67" t="str">
        <x:v>Cette mission a pour objectif de recueillir les résultats de mesures de la couverture mobile des chemins de fer belges effectuées par les quatre opérateurs mobiles actifs, tant à l’extérieur qu’à l’intérieur des trains. Elle implique l’intervention d’une expertise externe afin de mettre en œuvre des mesures automatisées, précises et reproductibles.</x:v>
      </x:c>
      <x:c r="M111" s="67" t="str">
        <x:v>https://ted.europa.eu/en/notice/-/detail/475108-2025</x:v>
      </x:c>
      <x:c r="N111" s="68" t="str">
        <x:v>AI-assisted draft</x:v>
      </x:c>
      <x:c r="O111" s="70" t="str"/>
      <x:c r="P111" s="66" t="str">
        <x:v>Draft complete</x:v>
      </x:c>
    </x:row>
    <x:row r="112" ht="84" customHeight="1">
      <x:c r="A112" s="66" t="str">
        <x:v>R1-111</x:v>
      </x:c>
      <x:c r="B112" s="66" t="str">
        <x:v>765412-2024</x:v>
      </x:c>
      <x:c r="C112" s="66" t="str">
        <x:v>FIN</x:v>
      </x:c>
      <x:c r="D112" s="68" t="str">
        <x:v>Relevant</x:v>
      </x:c>
      <x:c r="E112" s="68" t="str">
        <x:v>Medium</x:v>
      </x:c>
      <x:c r="F112" s="69" t="str">
        <x:v>The maintained platform materially includes databases, BI reporting and Databricks integrations.</x:v>
      </x:c>
      <x:c r="G112" s="67" t="str">
        <x:v>2024-12-13</x:v>
      </x:c>
      <x:c r="H112" s="67" t="str">
        <x:v>Suomen Olympiakomitea ry, Finlands Olympiska Kommitté rf</x:v>
      </x:c>
      <x:c r="I112" s="67" t="str">
        <x:v>Software packages and information systems</x:v>
      </x:c>
      <x:c r="J112" s="67" t="str">
        <x:v>Finland – IT services: consulting, software development, Internet and support – Suomisport-palvelun ylläpito- ja kehityspalvelu</x:v>
      </x:c>
      <x:c r="K112" s="67" t="str">
        <x:v>72000000, 48000000</x:v>
      </x:c>
      <x:c r="L112" s="67" t="str">
        <x:v>Hankinnan kohteena on Suomisport-palvelun jatkuva ylläpito- ja kehityspalvelu sisältäen seuraavat toimitukset: 1) Nykyisen järjestelmän jatkuva ylläpito ja kehitys nykyisillä teknologioilla ja tietoturvallisesti; 2) Nykyisen järjestelmän vuosittainen kehittäminen palvelustrategian ja kehittämisbudjetin mukaisesti; ja 3) Mahdollisen toimittajavaihdo</x:v>
      </x:c>
      <x:c r="M112" s="67" t="str">
        <x:v>https://ted.europa.eu/en/notice/-/detail/765412-2024</x:v>
      </x:c>
      <x:c r="N112" s="68" t="str">
        <x:v>AI-assisted draft</x:v>
      </x:c>
      <x:c r="O112" s="70" t="str"/>
      <x:c r="P112" s="66" t="str">
        <x:v>Needs human review</x:v>
      </x:c>
    </x:row>
    <x:row r="113" ht="84" customHeight="1">
      <x:c r="A113" s="66" t="str">
        <x:v>R1-112</x:v>
      </x:c>
      <x:c r="B113" s="66" t="str">
        <x:v>157393-2024</x:v>
      </x:c>
      <x:c r="C113" s="66" t="str">
        <x:v>BEL</x:v>
      </x:c>
      <x:c r="D113" s="68" t="str">
        <x:v>Not relevant</x:v>
      </x:c>
      <x:c r="E113" s="68" t="str">
        <x:v>High</x:v>
      </x:c>
      <x:c r="F113" s="69" t="str">
        <x:v>The product is a customer-support ticketing system.</x:v>
      </x:c>
      <x:c r="G113" s="67" t="str">
        <x:v>2024-03-15</x:v>
      </x:c>
      <x:c r="H113" s="67" t="str">
        <x:v>HR RAIL NV</x:v>
      </x:c>
      <x:c r="I113" s="67" t="str">
        <x:v>IT services</x:v>
      </x:c>
      <x:c r="J113" s="67" t="str">
        <x:v>Belgium – IT services: consulting, software development, Internet and support – Overheidsopdracht voor de implementatie en het ter beschikking stellen van een toepassing voor het beheer van support- en helpdeskdiensten aan klanten (Ticketing Tool)</x:v>
      </x:c>
      <x:c r="K113" s="67" t="str">
        <x:v>72000000</x:v>
      </x:c>
      <x:c r="L113" s="67" t="str">
        <x:v>Le marché a pour objet la conclusion d’un contrat, par lot, en vue de la mise en place d’un ticketing tool pour le HR Solutions de HR Rail d’une part (lot 1) et d’un ticketing tool pour les besoins du Contact Center de la CSS et du Fonds Social, d’autre part (lot 2). Het voorwerp van de opdracht is het sluiten van een contract per perceel, voor de </x:v>
      </x:c>
      <x:c r="M113" s="67" t="str">
        <x:v>https://ted.europa.eu/en/notice/-/detail/157393-2024</x:v>
      </x:c>
      <x:c r="N113" s="68" t="str">
        <x:v>AI-assisted draft</x:v>
      </x:c>
      <x:c r="O113" s="70" t="str"/>
      <x:c r="P113" s="66" t="str">
        <x:v>Draft complete</x:v>
      </x:c>
    </x:row>
    <x:row r="114" ht="84" customHeight="1">
      <x:c r="A114" s="66" t="str">
        <x:v>R1-113</x:v>
      </x:c>
      <x:c r="B114" s="66" t="str">
        <x:v>610732-2025</x:v>
      </x:c>
      <x:c r="C114" s="66" t="str">
        <x:v>BEL</x:v>
      </x:c>
      <x:c r="D114" s="68" t="str">
        <x:v>Not relevant</x:v>
      </x:c>
      <x:c r="E114" s="68" t="str">
        <x:v>High</x:v>
      </x:c>
      <x:c r="F114" s="69" t="str">
        <x:v>The central platform mainly combines planning, ticketing and HR administration; reporting is incidental.</x:v>
      </x:c>
      <x:c r="G114" s="67" t="str">
        <x:v>2025-09-18</x:v>
      </x:c>
      <x:c r="H114" s="67" t="str">
        <x:v>Muntpunt vzw</x:v>
      </x:c>
      <x:c r="I114" s="67" t="str">
        <x:v>Software packages and information systems</x:v>
      </x:c>
      <x:c r="J114" s="67" t="str">
        <x:v>Belgium – Information technology services – de implementatie, integratie en onderhoud van een centraal digitaal platform</x:v>
      </x:c>
      <x:c r="K114" s="67" t="str">
        <x:v>72222300, 72267100, 48311000, 72212445</x:v>
      </x:c>
      <x:c r="L114" s="67" t="str">
        <x:v>Deze opdracht betreft de implementatie, integratie en onderhoud van een centraal digitaal platform dat onder meer volgende modules omvat: planningstool, ticketingssysteem, HR-adminsitratie, rapportage en ondersteunende functionaliteiten Deze opdracht betreft de implementatie, integratie en onderhoud van een centraal digitaal platform dat onder meer</x:v>
      </x:c>
      <x:c r="M114" s="67" t="str">
        <x:v>https://ted.europa.eu/en/notice/-/detail/610732-2025</x:v>
      </x:c>
      <x:c r="N114" s="68" t="str">
        <x:v>AI-assisted draft</x:v>
      </x:c>
      <x:c r="O114" s="70" t="str"/>
      <x:c r="P114" s="66" t="str">
        <x:v>Draft complete</x:v>
      </x:c>
    </x:row>
    <x:row r="115" ht="84" customHeight="1">
      <x:c r="A115" s="66" t="str">
        <x:v>R1-114</x:v>
      </x:c>
      <x:c r="B115" s="66" t="str">
        <x:v>521412-2026</x:v>
      </x:c>
      <x:c r="C115" s="66" t="str">
        <x:v>ITA</x:v>
      </x:c>
      <x:c r="D115" s="68" t="str">
        <x:v>Unsure</x:v>
      </x:c>
      <x:c r="E115" s="68" t="str">
        <x:v>Low</x:v>
      </x:c>
      <x:c r="F115" s="69" t="str">
        <x:v>The national agricultural information-system notice lacks enough detail to determine whether data services are material.</x:v>
      </x:c>
      <x:c r="G115" s="67" t="str">
        <x:v>2026-07-28</x:v>
      </x:c>
      <x:c r="H115" s="67" t="str">
        <x:v>INVITALIA AGENZIA NAZIONALE PER L'ATTRAZIONE DEGLI INVESTIMENTI E LO SVILUPPO D'IMPRESA</x:v>
      </x:c>
      <x:c r="I115" s="67" t="str">
        <x:v>IT services</x:v>
      </x:c>
      <x:c r="J115" s="67" t="str">
        <x:v>Italy – IT services: consulting, software development, Internet and support – CdC per AGEA AQ SIAN: AFFIDAMENTO DEI SERVIZI DEL SISTEMA INFORMATIVO AGRICOLO NAZIONALE (SIAN) PER LE ESIGENZE DELL’AGENZIA PER LE EROGAZIONI IN AGRICOLTURA - AGEA</x:v>
      </x:c>
      <x:c r="K115" s="67" t="str">
        <x:v>72000000, 79512000, 72224000, 72322000, 72312000, 72222300, 71600000</x:v>
      </x:c>
      <x:c r="L115" s="67" t="str">
        <x:v>CdC per AGEA AQ SIAN: AFFIDAMENTO DEI SERVIZI DEL SISTEMA INFORMATIVO AGRICOLO NAZIONALE (SIAN) PER LE ESIGENZE DELL’AGENZIA PER LE EROGAZIONI IN AGRICOLTURA - AGEA PROCEDURA DI GARA APERTA AI SENSI DEGLI ARTICOLI 59, CO. 3, E 71, DEL D.LGS. N. 36/2023, DA REALIZZARSI MEDIANTE PIATTAFORMA TELEMATICA, PER LA CONCLUSIONE DI UN ACCORDO QUADRO AVENTE A</x:v>
      </x:c>
      <x:c r="M115" s="67" t="str">
        <x:v>https://ted.europa.eu/en/notice/-/detail/521412-2026</x:v>
      </x:c>
      <x:c r="N115" s="68" t="str">
        <x:v>AI-assisted draft</x:v>
      </x:c>
      <x:c r="O115" s="70" t="str"/>
      <x:c r="P115" s="66" t="str">
        <x:v>Needs human review</x:v>
      </x:c>
    </x:row>
    <x:row r="116" ht="84" customHeight="1">
      <x:c r="A116" s="66" t="str">
        <x:v>R1-115</x:v>
      </x:c>
      <x:c r="B116" s="66" t="str">
        <x:v>338075-2026</x:v>
      </x:c>
      <x:c r="C116" s="66" t="str">
        <x:v>ITA</x:v>
      </x:c>
      <x:c r="D116" s="68" t="str">
        <x:v>Relevant</x:v>
      </x:c>
      <x:c r="E116" s="68" t="str">
        <x:v>High</x:v>
      </x:c>
      <x:c r="F116" s="69" t="str">
        <x:v>The contract supplies Earth-observation data, analytics methods and a near-real-time dashboard.</x:v>
      </x:c>
      <x:c r="G116" s="67" t="str">
        <x:v>2026-05-18</x:v>
      </x:c>
      <x:c r="H116" s="67" t="str">
        <x:v>European Commission, DG JRC - Joint Research Centre</x:v>
      </x:c>
      <x:c r="I116" s="67" t="str">
        <x:v>IT services</x:v>
      </x:c>
      <x:c r="J116" s="67" t="str">
        <x:v>Italy – Data services – EO data products and Near-Real-Time services for HAB-Hub project</x:v>
      </x:c>
      <x:c r="K116" s="67" t="str">
        <x:v>72300000, 72212222, 72212326, 72212328, 72310000, 72316000, 72319000</x:v>
      </x:c>
      <x:c r="L116" s="67" t="str">
        <x:v>The HAB-Hub Pilot project (PP33) aims to assess, improve and scale-up existing Earth Observation (EO) data, services and methodologies to detect in near-real-time (NRT) harmful algal bloom (HAB) events in European waters. The project will evaluate at a pan European scale the performance of methods and products already applied in existing operationa</x:v>
      </x:c>
      <x:c r="M116" s="67" t="str">
        <x:v>https://ted.europa.eu/en/notice/-/detail/338075-2026</x:v>
      </x:c>
      <x:c r="N116" s="68" t="str">
        <x:v>AI-assisted draft</x:v>
      </x:c>
      <x:c r="O116" s="70" t="str"/>
      <x:c r="P116" s="66" t="str">
        <x:v>Draft complete</x:v>
      </x:c>
    </x:row>
    <x:row r="117" ht="84" customHeight="1">
      <x:c r="A117" s="66" t="str">
        <x:v>R1-116</x:v>
      </x:c>
      <x:c r="B117" s="66" t="str">
        <x:v>115261-2026</x:v>
      </x:c>
      <x:c r="C117" s="66" t="str">
        <x:v>BEL</x:v>
      </x:c>
      <x:c r="D117" s="68" t="str">
        <x:v>Relevant</x:v>
      </x:c>
      <x:c r="E117" s="68" t="str">
        <x:v>Medium</x:v>
      </x:c>
      <x:c r="F117" s="69" t="str">
        <x:v>The multi-lot framework includes material HPC server infrastructure for intensive data processing.</x:v>
      </x:c>
      <x:c r="G117" s="67" t="str">
        <x:v>2026-02-18</x:v>
      </x:c>
      <x:c r="H117" s="67" t="str">
        <x:v>SCK CEN</x:v>
      </x:c>
      <x:c r="I117" s="67" t="str">
        <x:v>Software packages and information systems</x:v>
      </x:c>
      <x:c r="J117" s="67" t="str">
        <x:v>Belgium – Data-processing machines (hardware) – Contrat-Cadre IT Hardware</x:v>
      </x:c>
      <x:c r="K117" s="67" t="str">
        <x:v>30210000, 48820000, 30214000, 30213000, 30213100, 30213300</x:v>
      </x:c>
      <x:c r="L117" s="67" t="str">
        <x:v>Contrat-cadre IT Hardware Raamovereenkomst IT Hardware Matériel informatique (ordinateur portable, ordinateur de bureau et accessoires) Matériel serveur (y compris HPC) Werkplek hardware (laptop, desktop en accessoires) Serverhardware (inclusief HPC)</x:v>
      </x:c>
      <x:c r="M117" s="67" t="str">
        <x:v>https://ted.europa.eu/en/notice/-/detail/115261-2026</x:v>
      </x:c>
      <x:c r="N117" s="68" t="str">
        <x:v>AI-assisted draft</x:v>
      </x:c>
      <x:c r="O117" s="70" t="str"/>
      <x:c r="P117" s="66" t="str">
        <x:v>Needs human review</x:v>
      </x:c>
    </x:row>
    <x:row r="118" ht="84" customHeight="1">
      <x:c r="A118" s="66" t="str">
        <x:v>R1-117</x:v>
      </x:c>
      <x:c r="B118" s="66" t="str">
        <x:v>650391-2023</x:v>
      </x:c>
      <x:c r="C118" s="66" t="str">
        <x:v>FIN</x:v>
      </x:c>
      <x:c r="D118" s="68" t="str">
        <x:v>Relevant</x:v>
      </x:c>
      <x:c r="E118" s="68" t="str">
        <x:v>High</x:v>
      </x:c>
      <x:c r="F118" s="69" t="str">
        <x:v>The service aggregates, validates and harmonizes transport APIs into a national database.</x:v>
      </x:c>
      <x:c r="G118" s="67" t="str">
        <x:v>2023-10-26</x:v>
      </x:c>
      <x:c r="H118" s="67" t="str">
        <x:v>Traffic Management Company Fintraffic Ltd.</x:v>
      </x:c>
      <x:c r="I118" s="67" t="str">
        <x:v>Software packages and information systems</x:v>
      </x:c>
      <x:c r="J118" s="67" t="str">
        <x:v>Finland – IT services: consulting, software development, Internet and support – Aggregated database and registry service for national multimodal mobility services</x:v>
      </x:c>
      <x:c r="K118" s="67" t="str">
        <x:v>72000000, 48000000, 72250000, 72260000, 72320000</x:v>
      </x:c>
      <x:c r="L118" s="67" t="str">
        <x:v>SUBJECT-MATTER OF THE PROCUREMENT The object of the procurement is described in more detail in the Call for tenders and its attachments, especially in the annex 1 "Description of the procurement". Fintraffic is tendering a national aggregated database service for multimodal mobility services, which primarily collects all compatible and validated in</x:v>
      </x:c>
      <x:c r="M118" s="67" t="str">
        <x:v>https://ted.europa.eu/en/notice/-/detail/650391-2023</x:v>
      </x:c>
      <x:c r="N118" s="68" t="str">
        <x:v>AI-assisted draft</x:v>
      </x:c>
      <x:c r="O118" s="70" t="str"/>
      <x:c r="P118" s="66" t="str">
        <x:v>Draft complete</x:v>
      </x:c>
    </x:row>
    <x:row r="119" ht="84" customHeight="1">
      <x:c r="A119" s="66" t="str">
        <x:v>R1-118</x:v>
      </x:c>
      <x:c r="B119" s="66" t="str">
        <x:v>501828-2024</x:v>
      </x:c>
      <x:c r="C119" s="66" t="str">
        <x:v>BEL</x:v>
      </x:c>
      <x:c r="D119" s="68" t="str">
        <x:v>Relevant</x:v>
      </x:c>
      <x:c r="E119" s="68" t="str">
        <x:v>High</x:v>
      </x:c>
      <x:c r="F119" s="69" t="str">
        <x:v>Forecast-driven control software, data integrations and an insight dashboard are central.</x:v>
      </x:c>
      <x:c r="G119" s="67" t="str">
        <x:v>2024-08-21</x:v>
      </x:c>
      <x:c r="H119" s="67" t="str">
        <x:v>Aquafin NV</x:v>
      </x:c>
      <x:c r="I119" s="67" t="str">
        <x:v>IT services</x:v>
      </x:c>
      <x:c r="J119" s="67" t="str">
        <x:v>Belgium – Real time operating system software development services – Software voor het slim sturen en monitoren van hemelwaterbekkens</x:v>
      </x:c>
      <x:c r="K119" s="67" t="str">
        <x:v>72212670</x:v>
      </x:c>
      <x:c r="L119" s="67" t="str">
        <x:v>Aquafin zoekt een Kandidaat-Opdrachtnemer (één enkele onderneming of een combinatie van ondernemingen) die volgende diensten kan uitvoeren: 1. De levering, installatie en continue bijsturing van software om via weersvoorspellingen hemelwaterbekkens, elk met hun eigen parameters, slim aan te sturen. Voor de sturingssoftware gelden volgende specifica</x:v>
      </x:c>
      <x:c r="M119" s="67" t="str">
        <x:v>https://ted.europa.eu/en/notice/-/detail/501828-2024</x:v>
      </x:c>
      <x:c r="N119" s="68" t="str">
        <x:v>AI-assisted draft</x:v>
      </x:c>
      <x:c r="O119" s="70" t="str"/>
      <x:c r="P119" s="66" t="str">
        <x:v>Draft complete</x:v>
      </x:c>
    </x:row>
    <x:row r="120" ht="84" customHeight="1">
      <x:c r="A120" s="66" t="str">
        <x:v>R1-119</x:v>
      </x:c>
      <x:c r="B120" s="66" t="str">
        <x:v>399817-2025</x:v>
      </x:c>
      <x:c r="C120" s="66" t="str">
        <x:v>FIN</x:v>
      </x:c>
      <x:c r="D120" s="68" t="str">
        <x:v>Not relevant</x:v>
      </x:c>
      <x:c r="E120" s="68" t="str">
        <x:v>High</x:v>
      </x:c>
      <x:c r="F120" s="69" t="str">
        <x:v>The scope is regional network, firewall and internet connectivity.</x:v>
      </x:c>
      <x:c r="G120" s="67" t="str">
        <x:v>2025-06-20</x:v>
      </x:c>
      <x:c r="H120" s="67" t="str">
        <x:v>Etelä-Savon hyvinvointialue</x:v>
      </x:c>
      <x:c r="I120" s="67" t="str">
        <x:v>IT services</x:v>
      </x:c>
      <x:c r="J120" s="67" t="str">
        <x:v>Finland – Wide area network services – Alueverkko- ja tietoliikennepalvelut Etelä-Savon hyvinvointialueelle</x:v>
      </x:c>
      <x:c r="K120" s="67" t="str">
        <x:v>72720000, 32412000, 32500000, 50334400, 64210000, 72400000, 72590000, 72710000</x:v>
      </x:c>
      <x:c r="L120" s="67" t="str">
        <x:v>Etelä-Savon hyvinvointialue pyytää tarjouksia Etelä-Savon hyvinvointialueen alueverkko- ja tietoliikennepalveluista: suljettu tietoliikenneverkko, palomuuripalvelut, internet-yhteys, DDoS-esto, lähiverkon palvelut ja näihin liittyviä optioita. Tarjoajan tulee tarjota kokonaisuutta. Osatarjouksia ei hyväksytä. Vaihtoehtoisia tarjouksia ei hyväksytä.</x:v>
      </x:c>
      <x:c r="M120" s="67" t="str">
        <x:v>https://ted.europa.eu/en/notice/-/detail/399817-2025</x:v>
      </x:c>
      <x:c r="N120" s="68" t="str">
        <x:v>AI-assisted draft</x:v>
      </x:c>
      <x:c r="O120" s="70" t="str"/>
      <x:c r="P120" s="66" t="str">
        <x:v>Draft complete</x:v>
      </x:c>
    </x:row>
    <x:row r="121" ht="84" customHeight="1">
      <x:c r="A121" s="66" t="str">
        <x:v>R1-120</x:v>
      </x:c>
      <x:c r="B121" s="66" t="str">
        <x:v>555707-2025</x:v>
      </x:c>
      <x:c r="C121" s="66" t="str">
        <x:v>ITA</x:v>
      </x:c>
      <x:c r="D121" s="68" t="str">
        <x:v>Not relevant</x:v>
      </x:c>
      <x:c r="E121" s="68" t="str">
        <x:v>High</x:v>
      </x:c>
      <x:c r="F121" s="69" t="str">
        <x:v>The contract is administrative processing and international recovery of traffic fines.</x:v>
      </x:c>
      <x:c r="G121" s="67" t="str">
        <x:v>2025-08-26</x:v>
      </x:c>
      <x:c r="H121" s="67" t="str">
        <x:v>SPEZIA RISORSE S.P.A.</x:v>
      </x:c>
      <x:c r="I121" s="67" t="str">
        <x:v>IT services</x:v>
      </x:c>
      <x:c r="J121" s="67" t="str">
        <x:v>Italy – Data management services – GARA EUROPEA A PROCEDURA APERTA TELEMATICA, AI SENSI DELL’ART. 71 DEL D.LGS N. 36/2023, PER L’AFFIDAMENTO TRAMITE L’ISTITUTO DELL'ACCORDO QUADRO PER IL SERVIZIO DI GESTIONE DEL PROCEDIMENTO SANZIONATORIO DELLE VIOLAZIONI AMMINISTRATIVE ALLE NORME DEL CODICE DELLA STRADA PER VEICOLI CON TARGA ESTERA E TRASGRESSORI OVVERO OBBLIGATI IN SOLIDO RESIDENTI ALL'ESTERO, A LEGGI E REGOLAMENTI DI COMPETENZA</x:v>
      </x:c>
      <x:c r="K121" s="67" t="str">
        <x:v>72322000</x:v>
      </x:c>
      <x:c r="L121" s="67" t="str">
        <x:v>GARA EUROPEA A PROCEDURA APERTA TELEMATICA, AI SENSI DELL’ART. 71 DEL D.LGS N. 36/2023, PER L’AFFIDAMENTO TRAMITE L’ISTITUTO DELL'ACCORDO QUADRO PER IL SERVIZIO DI GESTIONE DEL PROCEDIMENTO SANZIONATORIO DELLE VIOLAZIONI AMMINISTRATIVE ALLE NORME DEL CODICE DELLA STRADA PER VEICOLI CON TARGA ESTERA E TRASGRESSORI OVVERO OBBLIGATI IN SOLIDO RESIDENT</x:v>
      </x:c>
      <x:c r="M121" s="67" t="str">
        <x:v>https://ted.europa.eu/en/notice/-/detail/555707-2025</x:v>
      </x:c>
      <x:c r="N121" s="68" t="str">
        <x:v>AI-assisted draft</x:v>
      </x:c>
      <x:c r="O121" s="70" t="str"/>
      <x:c r="P121" s="66" t="str">
        <x:v>Draft complete</x:v>
      </x:c>
    </x:row>
  </x:sheetData>
  <x:conditionalFormatting sqref="D2:D121">
    <x:cfRule type="expression" dxfId="0" priority="1">
      <x:formula>$D2="Relevant"</x:formula>
    </x:cfRule>
    <x:cfRule type="expression" dxfId="1" priority="2">
      <x:formula>$D2="Not relevant"</x:formula>
    </x:cfRule>
    <x:cfRule type="expression" dxfId="2" priority="3">
      <x:formula>$D2="Unsure"</x:formula>
    </x:cfRule>
  </x:conditionalFormatting>
  <x:conditionalFormatting sqref="P2:P121">
    <x:cfRule type="expression" dxfId="3" priority="4">
      <x:formula>$P2="Needs human review"</x:formula>
    </x:cfRule>
  </x:conditionalFormatting>
  <x:dataValidations count="2">
    <x:dataValidation type="list" sqref="D2:D121">
      <x:formula1>"Relevant,Not relevant,Unsure"</x:formula1>
    </x:dataValidation>
    <x:dataValidation type="list" sqref="E2:E121">
      <x:formula1>"High,Medium,Low"</x:formula1>
    </x:dataValidation>
  </x:dataValidations>
  <x:pageMargins left="0.7" right="0.7" top="0.75" bottom="0.75" header="0.3" footer="0.3"/>
  <x:tableParts count="1">
    <x:tablePart xmlns:r="http://schemas.openxmlformats.org/officeDocument/2006/relationships" r:id="R004dde6b32a6425d"/>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1" hidden="0" customWidth="1"/>
    <x:col min="2" max="2" width="10" hidden="0" customWidth="1"/>
    <x:col min="3" max="3" width="16" hidden="0" customWidth="1"/>
    <x:col min="4" max="4" width="18" hidden="0" customWidth="1"/>
    <x:col min="5" max="5" width="12" hidden="0" customWidth="1"/>
    <x:col min="6" max="6" width="42" hidden="0" customWidth="1"/>
    <x:col min="7" max="7" width="48" hidden="0" customWidth="1"/>
    <x:col min="8" max="8" width="62" hidden="0" customWidth="1"/>
    <x:col min="9" max="9" width="46" hidden="0" customWidth="1"/>
  </x:cols>
  <x:sheetData>
    <x:row r="1" ht="27" customHeight="1">
      <x:c r="A1" s="3" t="str">
        <x:v>Review Queue — 25 Decisions</x:v>
      </x:c>
      <x:c r="B1" s="3"/>
      <x:c r="C1" s="3"/>
      <x:c r="D1" s="3"/>
      <x:c r="E1" s="3"/>
      <x:c r="F1" s="3"/>
      <x:c r="G1" s="3"/>
      <x:c r="H1" s="3"/>
      <x:c r="I1" s="3"/>
    </x:row>
    <x:row r="2" ht="27" customHeight="1">
      <x:c r="A2" s="3"/>
      <x:c r="B2" s="3"/>
      <x:c r="C2" s="3"/>
      <x:c r="D2" s="3"/>
      <x:c r="E2" s="3"/>
      <x:c r="F2" s="3"/>
      <x:c r="G2" s="3"/>
      <x:c r="H2" s="3"/>
      <x:c r="I2" s="3"/>
    </x:row>
    <x:row r="3" ht="24" customHeight="1">
      <x:c r="A3" s="6" t="str">
        <x:v>Only these rows need human attention · suggested labels are preliminary</x:v>
      </x:c>
      <x:c r="B3" s="6"/>
      <x:c r="C3" s="6"/>
      <x:c r="D3" s="6"/>
      <x:c r="E3" s="6"/>
      <x:c r="F3" s="6"/>
      <x:c r="G3" s="6"/>
      <x:c r="H3" s="6"/>
      <x:c r="I3" s="6"/>
    </x:row>
    <x:row r="5" ht="34" customHeight="1">
      <x:c r="A5" s="63" t="str">
        <x:v>sample_id</x:v>
      </x:c>
      <x:c r="B5" s="63" t="str">
        <x:v>country</x:v>
      </x:c>
      <x:c r="C5" s="63" t="str">
        <x:v>suggested_label</x:v>
      </x:c>
      <x:c r="D5" s="63" t="str">
        <x:v>final_decision</x:v>
      </x:c>
      <x:c r="E5" s="63" t="str">
        <x:v>confidence</x:v>
      </x:c>
      <x:c r="F5" s="63" t="str">
        <x:v>what_to_check_tr</x:v>
      </x:c>
      <x:c r="G5" s="63" t="str">
        <x:v>title</x:v>
      </x:c>
      <x:c r="H5" s="63" t="str">
        <x:v>evidence_excerpt</x:v>
      </x:c>
      <x:c r="I5" s="63" t="str">
        <x:v>ted_url</x:v>
      </x:c>
    </x:row>
    <x:row r="6" ht="78" customHeight="1">
      <x:c r="A6" s="67" t="str">
        <x:v>R1-003</x:v>
      </x:c>
      <x:c r="B6" s="67" t="str">
        <x:v>FIN</x:v>
      </x:c>
      <x:c r="C6" s="67" t="str">
        <x:v>Not relevant</x:v>
      </x:c>
      <x:c r="D6" s="72" t="str"/>
      <x:c r="E6" s="67" t="str">
        <x:v>Medium</x:v>
      </x:c>
      <x:c r="F6" s="67" t="str">
        <x:v>Bulut barındırma işi; veri altyapısı sayılıp sayılmayacağı sınırda.</x:v>
      </x:c>
      <x:c r="G6" s="67" t="str">
        <x:v>Finland – IT services: consulting, software development, Internet and support – WSS Cloud Hosting</x:v>
      </x:c>
      <x:c r="H6" s="67" t="str">
        <x:v>Keva request tenders for cloud hosting to existing WallStreet Suite -software. This will include one production environment, and 3 test environments. Keva will not offer licences to Windows or SQL-servers. Keva uses WallStreet Suite as the main treasury system. It covers most invest-ment types in Keva’s portfolio such as FX, equity, high yield, EMD, Duration and liquidity, Hedge Fund and Tactical portfolios. The obje</x:v>
      </x:c>
      <x:c r="I6" s="67" t="str">
        <x:v>https://ted.europa.eu/en/notice/-/detail/233015-2025</x:v>
      </x:c>
    </x:row>
    <x:row r="7" ht="78" customHeight="1">
      <x:c r="A7" s="67" t="str">
        <x:v>R1-011</x:v>
      </x:c>
      <x:c r="B7" s="67" t="str">
        <x:v>BEL</x:v>
      </x:c>
      <x:c r="C7" s="67" t="str">
        <x:v>Relevant</x:v>
      </x:c>
      <x:c r="D7" s="72" t="str"/>
      <x:c r="E7" s="67" t="str">
        <x:v>Medium</x:v>
      </x:c>
      <x:c r="F7" s="67" t="str">
        <x:v>Sensör ve veri kaydedici alımı; veri toplama altyapısı kabul edildi.</x:v>
      </x:c>
      <x:c r="G7" s="67" t="str">
        <x:v>Belgium – Instruments for measuring flow, level and pressure of liquids and gases – Raamovereenkomst voor het aankopen van waterpeildataloggers en toebehoren</x:v>
      </x:c>
      <x:c r="H7" s="67" t="str">
        <x:v>Raamovereenkomst voor het aankopen van waterpeildataloggers en toebehoren zie bestektekst</x:v>
      </x:c>
      <x:c r="I7" s="67" t="str">
        <x:v>https://ted.europa.eu/en/notice/-/detail/562866-2026</x:v>
      </x:c>
    </x:row>
    <x:row r="8" ht="78" customHeight="1">
      <x:c r="A8" s="67" t="str">
        <x:v>R1-015</x:v>
      </x:c>
      <x:c r="B8" s="67" t="str">
        <x:v>FIN</x:v>
      </x:c>
      <x:c r="C8" s="67" t="str">
        <x:v>Not relevant</x:v>
      </x:c>
      <x:c r="D8" s="72" t="str"/>
      <x:c r="E8" s="67" t="str">
        <x:v>Medium</x:v>
      </x:c>
      <x:c r="F8" s="67" t="str">
        <x:v>AWS/GCP ve DevOps işi; veri kullanım amacı açık olmadığı için kapsam dışı önerildi.</x:v>
      </x:c>
      <x:c r="G8" s="67" t="str">
        <x:v>Finland – IT services: consulting, software development, Internet and support – Espoon kaupungin pilviosaamiskeskuksen asiantuntija- ja pilvialustapalvelut</x:v>
      </x:c>
      <x:c r="H8" s="67" t="str">
        <x:v>Espoon kaupunki (myöhemmin myös Asiakas tai Tilaaja) pyytää tarjouksia pilviosaamiskeskuksen Toimittajan roolista sisältäen pilviosaamiskeskuksen organisoinnin, vetämisen ja täydentävät asiantuntija-palvelut, AWS ja Google Cloud Platform - pilvikapasiteettien jälleenmyynnin sekä Asiakkaan DevOps-työkalujen hallinnoinnin. Pilviosaamiskeskus tulee tarkastelemaan Espoon julkipilvitilannetta yli nykyisten operatiivisten </x:v>
      </x:c>
      <x:c r="I8" s="67" t="str">
        <x:v>https://ted.europa.eu/en/notice/-/detail/700865-2023</x:v>
      </x:c>
    </x:row>
    <x:row r="9" ht="78" customHeight="1">
      <x:c r="A9" s="67" t="str">
        <x:v>R1-018</x:v>
      </x:c>
      <x:c r="B9" s="67" t="str">
        <x:v>FIN</x:v>
      </x:c>
      <x:c r="C9" s="67" t="str">
        <x:v>Relevant</x:v>
      </x:c>
      <x:c r="D9" s="72" t="str"/>
      <x:c r="E9" s="67" t="str">
        <x:v>Medium</x:v>
      </x:c>
      <x:c r="F9" s="67" t="str">
        <x:v>Veri merkezi cihazları geniş kapsamlı; depolama ve yedekleme önemli bir bölüm olduğu için uygun önerildi.</x:v>
      </x:c>
      <x:c r="G9" s="67" t="str">
        <x:v>Finland – Computer equipment and supplies – Hansel Oy:n Konesali-infrastruktuurilaitteet 2021-2025 dynaamisen hankintajärjestelmän voimassaolon jatkaminen 30.9.2026 asti</x:v>
      </x:c>
      <x:c r="H9" s="67" t="str">
        <x:v>ILMOITUKSEEN LIITTYVÄT LINKIT Konesali-infrastruktuurilaitteet 2021-2025 dynaamisen hankintajärjestelmän osallistumispyyntö on saatavissa osoitteesta https://www.hankintailmoitukset.fi/fi/public/procedure/14196/enotice/20711/details Tällä ilmoituksella ei perusteta uutta dynaamista hankintajärjestelmää, vaan ilmoituksella ilmoitetaan olemassa olevan dynaamisen hankintajärjestelmän "Konesali-infrastruktuurilaitteet 20</x:v>
      </x:c>
      <x:c r="I9" s="67" t="str">
        <x:v>https://ted.europa.eu/en/notice/-/detail/114951-2025</x:v>
      </x:c>
    </x:row>
    <x:row r="10" ht="78" customHeight="1">
      <x:c r="A10" s="67" t="str">
        <x:v>R1-022</x:v>
      </x:c>
      <x:c r="B10" s="67" t="str">
        <x:v>FIN</x:v>
      </x:c>
      <x:c r="C10" s="67" t="str">
        <x:v>Not relevant</x:v>
      </x:c>
      <x:c r="D10" s="72" t="str"/>
      <x:c r="E10" s="67" t="str">
        <x:v>Medium</x:v>
      </x:c>
      <x:c r="F10" s="67" t="str">
        <x:v>Kuantum bilgisayar gelişmiş hesaplama içeriyor ancak AI/veri kullanım amacı belirtilmiyor.</x:v>
      </x:c>
      <x:c r="G10" s="67" t="str">
        <x:v>Finland – Data-processing machines (hardware) – INVITATION TO PARTICIPATE IN PROCUREMENT FOR QUANTUM COMPUTER WITH SERVICES</x:v>
      </x:c>
      <x:c r="H10" s="67" t="str">
        <x:v>VTT Technical Research Centre of Finland Ltd., herein referred to as “VTT” or “Contracting Authority” expects your application to participate in the innovation partnership as detailed in the contract notice published on the public procurement website Hilma and this invitation to participate and its Annexes. Subject-matter of the Contract is the development and the delivery of a quantum computer(s) and related service</x:v>
      </x:c>
      <x:c r="I10" s="67" t="str">
        <x:v>https://ted.europa.eu/en/notice/-/detail/449968-2024</x:v>
      </x:c>
    </x:row>
    <x:row r="11" ht="78" customHeight="1">
      <x:c r="A11" s="67" t="str">
        <x:v>R1-039</x:v>
      </x:c>
      <x:c r="B11" s="67" t="str">
        <x:v>BEL</x:v>
      </x:c>
      <x:c r="C11" s="67" t="str">
        <x:v>Relevant</x:v>
      </x:c>
      <x:c r="D11" s="72" t="str"/>
      <x:c r="E11" s="67" t="str">
        <x:v>Medium</x:v>
      </x:c>
      <x:c r="F11" s="67" t="str">
        <x:v>Dashboard işi açık, ancak gelişmiş analiz özelliği belirtilmediği için sınırda.</x:v>
      </x:c>
      <x:c r="G11" s="67" t="str">
        <x:v>Belgium – IT services: consulting, software development, Internet and support – Unifying Dashboard</x:v>
      </x:c>
      <x:c r="H11" s="67" t="str">
        <x:v>De opdracht omvat het ontwerpen en ontwikkelen van een Proof of Concept van een Unifying Dashboard voor de organisatie van hybride zorg via een Slimme Zorghub. De opdracht omvat het ontwerpen en ontwikkelen van een Proof of Concept van een Unifying Dashboard voor de organisatie van hybride zorg via een Slimme Zorghub.</x:v>
      </x:c>
      <x:c r="I11" s="67" t="str">
        <x:v>https://ted.europa.eu/en/notice/-/detail/502606-2025</x:v>
      </x:c>
    </x:row>
    <x:row r="12" ht="78" customHeight="1">
      <x:c r="A12" s="67" t="str">
        <x:v>R1-044</x:v>
      </x:c>
      <x:c r="B12" s="67" t="str">
        <x:v>ITA</x:v>
      </x:c>
      <x:c r="C12" s="67" t="str">
        <x:v>Not relevant</x:v>
      </x:c>
      <x:c r="D12" s="72" t="str"/>
      <x:c r="E12" s="67" t="str">
        <x:v>Medium</x:v>
      </x:c>
      <x:c r="F12" s="67" t="str">
        <x:v>Tıbbi genetik iş akışı yazılımı; veri analizi açıkça belirtilmediği için kapsam dışı önerildi.</x:v>
      </x:c>
      <x:c r="G12" s="67" t="str">
        <x:v>Italy – Analytical, scientific, mathematical or forecasting software package – ACQUISIZIONE DI UN SOFTWARE GESTIONALE PER LA DIGITALIZZAZIONE DEI FLUSSI DI LAVORO DELLA S.C. GENETICA MEDICA</x:v>
      </x:c>
      <x:c r="H12" s="67" t="str">
        <x:v>ACQUISIZIONE DI UN SOFTWARE GESTIONALE PER LA DIGITALIZZAZIONE DEI FLUSSI DI LAVORO DELLA S.C. GENETICA MEDICA ACQUISIZIONE DI UN SOFTWARE GESTIONALE PER LA DIGITALIZZAZIONE DEI FLUSSI DI LAVORO DELLA S.C. GENETICA MEDICA</x:v>
      </x:c>
      <x:c r="I12" s="67" t="str">
        <x:v>https://ted.europa.eu/en/notice/-/detail/576256-2026</x:v>
      </x:c>
    </x:row>
    <x:row r="13" ht="78" customHeight="1">
      <x:c r="A13" s="67" t="str">
        <x:v>R1-046</x:v>
      </x:c>
      <x:c r="B13" s="67" t="str">
        <x:v>ITA</x:v>
      </x:c>
      <x:c r="C13" s="67" t="str">
        <x:v>Not relevant</x:v>
      </x:c>
      <x:c r="D13" s="72" t="str"/>
      <x:c r="E13" s="67" t="str">
        <x:v>Medium</x:v>
      </x:c>
      <x:c r="F13" s="67" t="str">
        <x:v>“Data services” CPV’sine rağmen ana iş ceza evrakı işleme ve basım hizmeti.</x:v>
      </x:c>
      <x:c r="G13" s="67" t="str">
        <x:v>Italy – Data services – affidamento del servizio di gestione, elaborazione e stampa degli atti relativi alle violazioni alle norme del Codice della strada accertate a carico dei veicoli e/o trasgressori e/o obbligati in solido aventi residenza o sede in Italia; alle violazioni ai Regolamenti comunali, e a tutte le violazioni previste dalle vigenti normative, derivanti dallattività della Polizia Locale; la fornitura del r</x:v>
      </x:c>
      <x:c r="H13" s="67" t="str">
        <x:v>affidamento del servizio di gestione, elaborazione e stampa degli atti relativi alle violazioni alle norme del Codice della strada accertate a carico dei veicoli e/o trasgressori e/o obbligati in solido aventi residenza o sede in Italia; alle violazioni ai Regolamenti comunali, e a tutte le violazioni previste dalle vigenti normative, derivanti dallattività della Polizia Locale; la fornitura del relativo software ges</x:v>
      </x:c>
      <x:c r="I13" s="67" t="str">
        <x:v>https://ted.europa.eu/en/notice/-/detail/834721-2025</x:v>
      </x:c>
    </x:row>
    <x:row r="14" ht="78" customHeight="1">
      <x:c r="A14" s="67" t="str">
        <x:v>R1-047</x:v>
      </x:c>
      <x:c r="B14" s="67" t="str">
        <x:v>ITA</x:v>
      </x:c>
      <x:c r="C14" s="67" t="str">
        <x:v>Not relevant</x:v>
      </x:c>
      <x:c r="D14" s="72" t="str"/>
      <x:c r="E14" s="67" t="str">
        <x:v>Medium</x:v>
      </x:c>
      <x:c r="F14" s="67" t="str">
        <x:v>Data entry ve optik arşiv var; fakat ana değer ceza süreci yönetimi olduğu için kapsam dışı önerildi.</x:v>
      </x:c>
      <x:c r="G14" s="67" t="str">
        <x:v>Italy – Data management services – GARA EUROPEA A PROCEDURA APERTA PER L’AFFIDAMENTO DEL SERVIZIO DI GESTIONE DELLE INFRAZIONI AL CODICE DELLA STRADA E DELLA RISCOSSIONE COATTIVA DELLE SANZIONI NON OBLATE.</x:v>
      </x:c>
      <x:c r="H14" s="67" t="str">
        <x:v>GARA EUROPEA A PROCEDURA APERTA PER L’AFFIDAMENTO DEL SERVIZIO DI GESTIONE DELLE INFRAZIONI AL CODICE DELLA STRADA E DELLA RISCOSSIONE COATTIVA DELLE SANZIONI NON OBLATE. Fornitura del software di gestione del ciclo sanzionatorio; Servizio di gestione sussidiaria dei procedimenti sanzionatori previsti dal Codice della Strada (Data Entry, front-office, stampa, imbustamento, archiviazione ottica) Servizio di riscossion</x:v>
      </x:c>
      <x:c r="I14" s="67" t="str">
        <x:v>https://ted.europa.eu/en/notice/-/detail/226747-2026</x:v>
      </x:c>
    </x:row>
    <x:row r="15" ht="78" customHeight="1">
      <x:c r="A15" s="67" t="str">
        <x:v>R1-057</x:v>
      </x:c>
      <x:c r="B15" s="67" t="str">
        <x:v>ITA</x:v>
      </x:c>
      <x:c r="C15" s="67" t="str">
        <x:v>Relevant</x:v>
      </x:c>
      <x:c r="D15" s="72" t="str"/>
      <x:c r="E15" s="67" t="str">
        <x:v>Medium</x:v>
      </x:c>
      <x:c r="F15" s="67" t="str">
        <x:v>Genel yönetim sistemiyle birlikte yasal dijital arşivleme de var; veri hizmeti kabul edildi.</x:v>
      </x:c>
      <x:c r="G15" s="67" t="str">
        <x:v>Italy – Computer-related services – FORNITURA DI UN SISTEMA INFORMATIVO GESTIONALE E RELATIVA MANUTENZIONE E DEL SERVIZIO DI CONSERVAZIONE DIGITALE A NORMA DEI DOCUMENTI INFORMATICI</x:v>
      </x:c>
      <x:c r="H15" s="67" t="str">
        <x:v>SISTEMA INFORMATIVO GESTIONALE E RELATIVA MANUTENZIONE E DEL SERVIZIO DI CONSERVAZIONE DIGITALE A NORMA DEI DOCUMENTI INFORMATICI FORNITURA DI UN SISTEMA INFORMATIVO GESTIONALE E RELATIVA MANUTENZIONE E DEL SERVIZIO DI CONSERVAZIONE DIGITALE A NORMA DEI DOCUMENTI INFORMATICI</x:v>
      </x:c>
      <x:c r="I15" s="67" t="str">
        <x:v>https://ted.europa.eu/en/notice/-/detail/87519-2026</x:v>
      </x:c>
    </x:row>
    <x:row r="16" ht="78" customHeight="1">
      <x:c r="A16" s="67" t="str">
        <x:v>R1-062</x:v>
      </x:c>
      <x:c r="B16" s="67" t="str">
        <x:v>FIN</x:v>
      </x:c>
      <x:c r="C16" s="67" t="str">
        <x:v>Relevant</x:v>
      </x:c>
      <x:c r="D16" s="72" t="str"/>
      <x:c r="E16" s="67" t="str">
        <x:v>Medium</x:v>
      </x:c>
      <x:c r="F16" s="67" t="str">
        <x:v>Sunucu ve ağ cihazları da var; depolama/yedekleme önemli olduğu için uygun önerildi.</x:v>
      </x:c>
      <x:c r="G16" s="67" t="str">
        <x:v>Finland – Computer-related equipment – Konesali-infrastruktuurilaitteet 2021-2025 (DPS)</x:v>
      </x:c>
      <x:c r="H16" s="67" t="str">
        <x:v>Dynaamisen hankintajärjestelmän (DPS) kohteena ovat konesali-infrastruktuurilaitteet (esim. palvelimet, tallennus-ja varmistuslaitteet, integroidut ratkaisut ja konesaliverkon laitteet) sekä niihin liittyvien lisätarvikkeiden ja palveluiden hankinta. DPS:n kohde on kuvattu tarkemmin osallistumispyynnössä ja sen liitteissä, erityisesti liitteissä "Dynaamisen hankintajärjestelmän kohde ja ehdot" ja "Palvelut ja niiden </x:v>
      </x:c>
      <x:c r="I16" s="67" t="str">
        <x:v>https://ted.europa.eu/en/notice/-/detail/110280-2025</x:v>
      </x:c>
    </x:row>
    <x:row r="17" ht="78" customHeight="1">
      <x:c r="A17" s="67" t="str">
        <x:v>R1-065</x:v>
      </x:c>
      <x:c r="B17" s="67" t="str">
        <x:v>ITA</x:v>
      </x:c>
      <x:c r="C17" s="67" t="str">
        <x:v>Relevant</x:v>
      </x:c>
      <x:c r="D17" s="72" t="str"/>
      <x:c r="E17" s="67" t="str">
        <x:v>Medium</x:v>
      </x:c>
      <x:c r="F17" s="67" t="str">
        <x:v>Uygulama sayaç okumalarını topluyor; yalnızca bakım ihalesi olduğu için sınırda.</x:v>
      </x:c>
      <x:c r="G17" s="67" t="str">
        <x:v>Italy – Computer support and consultancy services – Servizio Di Manutenzione dell’applicativo SUAL (Sistema Unico Acquisizione Letture) Di Gruppo Cap</x:v>
      </x:c>
      <x:c r="H17" s="67" t="str">
        <x:v>Servizio Di Manutenzione dell’applicativo SUAL (Sistema Unico Acquisizione Letture) Di Gruppo Cap Servizio Di Manutenzione dell’applicativo SUAL (Sistema Unico Acquisizione Letture) Di Gruppo Cap</x:v>
      </x:c>
      <x:c r="I17" s="67" t="str">
        <x:v>https://ted.europa.eu/en/notice/-/detail/412810-2024</x:v>
      </x:c>
    </x:row>
    <x:row r="18" ht="78" customHeight="1">
      <x:c r="A18" s="67" t="str">
        <x:v>R1-071</x:v>
      </x:c>
      <x:c r="B18" s="67" t="str">
        <x:v>FIN</x:v>
      </x:c>
      <x:c r="C18" s="67" t="str">
        <x:v>Relevant</x:v>
      </x:c>
      <x:c r="D18" s="72" t="str"/>
      <x:c r="E18" s="67" t="str">
        <x:v>Medium</x:v>
      </x:c>
      <x:c r="F18" s="67" t="str">
        <x:v>Sistemler arası finansal mesaj/veri aktarımı var; veri entegrasyonu olarak uygun önerildi.</x:v>
      </x:c>
      <x:c r="G18" s="67" t="str">
        <x:v>Finland – IT services: consulting, software development, Internet and support – Taloushallinnon sanomanvälitysoperaattoripalveluiden hankinta</x:v>
      </x:c>
      <x:c r="H18" s="67" t="str">
        <x:v>Sanomanvälitysoperaattoripalvelut hankitaan Monetra -konsernin omaan käyttöön sekä osaksi sen asiakkaiden kokonaispalvelutuotantoa. Hankinnan kohde ei sisällä palkkalaskelma-aineistojen välittämistä, jolla palkkalaskelmatiedot toimitetaan operaattorille välitettäväksi vastaanottajille eri kanaviin. Tarjouspyynnön liiteaineistossa olevat liitteet kuvaavat yksityiskohtaisesti tarpeet, jotka kohdistuvat Monetra-konserni</x:v>
      </x:c>
      <x:c r="I18" s="67" t="str">
        <x:v>https://ted.europa.eu/en/notice/-/detail/596503-2025</x:v>
      </x:c>
    </x:row>
    <x:row r="19" ht="78" customHeight="1">
      <x:c r="A19" s="67" t="str">
        <x:v>R1-075</x:v>
      </x:c>
      <x:c r="B19" s="67" t="str">
        <x:v>ITA</x:v>
      </x:c>
      <x:c r="C19" s="67" t="str">
        <x:v>Not relevant</x:v>
      </x:c>
      <x:c r="D19" s="72" t="str"/>
      <x:c r="E19" s="67" t="str">
        <x:v>Medium</x:v>
      </x:c>
      <x:c r="F19" s="67" t="str">
        <x:v>Sanallaştırma altyapısı var fakat veri depolama/analiz amacı açık değil.</x:v>
      </x:c>
      <x:c r="G19" s="67" t="str">
        <x:v>Italy – Hardware consultancy services – SERVIZIO DI MESSA A DISPOSIZIONE E GESTIONE CENTRALIZZATA DELL’INFRASTRUTTURA DI VIRTUALIZZAZIONE E DELLE RETI DECENTRATE E DELLE RELATIVE ATTIVITA’ DI SUPPORTO DELLA SOCIETA’ IN HOUSE ITS S.R.L. E DELLE SOCIETA’ CONTROLLANTI</x:v>
      </x:c>
      <x:c r="H19" s="67" t="str">
        <x:v>siehe Ausschreibungsbedingungen vedasi disciplinare di gara siehe Ausschreibungsbedingungen vedasi disciplinare di gara</x:v>
      </x:c>
      <x:c r="I19" s="67" t="str">
        <x:v>https://ted.europa.eu/en/notice/-/detail/648247-2024</x:v>
      </x:c>
    </x:row>
    <x:row r="20" ht="78" customHeight="1">
      <x:c r="A20" s="67" t="str">
        <x:v>R1-083</x:v>
      </x:c>
      <x:c r="B20" s="67" t="str">
        <x:v>ITA</x:v>
      </x:c>
      <x:c r="C20" s="67" t="str">
        <x:v>Unsure</x:v>
      </x:c>
      <x:c r="D20" s="72" t="str"/>
      <x:c r="E20" s="67" t="str">
        <x:v>Low</x:v>
      </x:c>
      <x:c r="F20" s="67" t="str">
        <x:v>Açıklama yok; veri tabanı mı yoksa genel işletim yazılımı mı olduğu belirlenemiyor.</x:v>
      </x:c>
      <x:c r="G20" s="67" t="str">
        <x:v>Italy-Pieve di Soligo: Database and operating software package</x:v>
      </x:c>
      <x:c r="H20" s="67" t="str"/>
      <x:c r="I20" s="67" t="str">
        <x:v>https://ted.europa.eu/en/notice/-/detail/286517-2018</x:v>
      </x:c>
    </x:row>
    <x:row r="21" ht="78" customHeight="1">
      <x:c r="A21" s="67" t="str">
        <x:v>R1-087</x:v>
      </x:c>
      <x:c r="B21" s="67" t="str">
        <x:v>BEL</x:v>
      </x:c>
      <x:c r="C21" s="67" t="str">
        <x:v>Unsure</x:v>
      </x:c>
      <x:c r="D21" s="72" t="str"/>
      <x:c r="E21" s="67" t="str">
        <x:v>Low</x:v>
      </x:c>
      <x:c r="F21" s="67" t="str">
        <x:v>İhale çok genel tanımlanmış; veri/AI işi içerip içermediği anlaşılamıyor.</x:v>
      </x:c>
      <x:c r="G21" s="67" t="str">
        <x:v>Belgium – Systems and technical consultancy services – Bureau d’étude et de conseil en informatique</x:v>
      </x:c>
      <x:c r="H21" s="67" t="str">
        <x:v>Un accord-cadre pluriannuel en vue de la désignation d’un bureau d’étude et de conseil en informatique. Een meerjarige raamovereenkomst voor een aanstelling van een IT onderzoeks- en adviesbureau. Un accord-cadre pluriannuel en vue de la désignation d’un bureau d’étude et de conseil en informatique. Een meerjarige raamovereenkomst voor een aanstelling van een IT onderzoeks- en adviesbureau.</x:v>
      </x:c>
      <x:c r="I21" s="67" t="str">
        <x:v>https://ted.europa.eu/en/notice/-/detail/519608-2025</x:v>
      </x:c>
    </x:row>
    <x:row r="22" ht="78" customHeight="1">
      <x:c r="A22" s="67" t="str">
        <x:v>R1-096</x:v>
      </x:c>
      <x:c r="B22" s="67" t="str">
        <x:v>BEL</x:v>
      </x:c>
      <x:c r="C22" s="67" t="str">
        <x:v>Relevant</x:v>
      </x:c>
      <x:c r="D22" s="72" t="str"/>
      <x:c r="E22" s="67" t="str">
        <x:v>Medium</x:v>
      </x:c>
      <x:c r="F22" s="67" t="str">
        <x:v>Ana ürün HR sistemi; fakat personel ana verisi, dashboard ve analytics kapsamı belirgin.</x:v>
      </x:c>
      <x:c r="G22" s="67" t="str">
        <x:v>Belgium – Time accounting or human resources software package – Digitalisatie van HR-processen in het Ziekenhuis Oost-Limburg</x:v>
      </x:c>
      <x:c r="H22" s="67" t="str">
        <x:v>Momenteel wordt binnen het departement Personeelszaken van het ZOL gewerkt met diverse HR systemen die niet of slechts beperkt met elkaar geïntegreerd zijn hetgeen het onderhoud over verschillende systemen voor onze doelgroepen moeilijk maakt. De functionaliteiten die vandaag aangeboden worden voldoen niet meer aan de huidige en toekomstige HR noden. We willen daarom investeren in een geïntegreerd HR systeem met de v</x:v>
      </x:c>
      <x:c r="I22" s="67" t="str">
        <x:v>https://ted.europa.eu/en/notice/-/detail/544706-2026</x:v>
      </x:c>
    </x:row>
    <x:row r="23" ht="78" customHeight="1">
      <x:c r="A23" s="67" t="str">
        <x:v>R1-099</x:v>
      </x:c>
      <x:c r="B23" s="67" t="str">
        <x:v>ITA</x:v>
      </x:c>
      <x:c r="C23" s="67" t="str">
        <x:v>Not relevant</x:v>
      </x:c>
      <x:c r="D23" s="72" t="str"/>
      <x:c r="E23" s="67" t="str">
        <x:v>Medium</x:v>
      </x:c>
      <x:c r="F23" s="67" t="str">
        <x:v>Uzaktan kontrol sistemi veri üretiyor olabilir; ancak açıklamada analiz veya veri platformu yok.</x:v>
      </x:c>
      <x:c r="G23" s="67" t="str">
        <x:v>Italy – Software integration consultancy services – Servizio di manutenzione e assistenza in ambito telecontrollo e fornitura di apparati degli impianti del servizio idrico (captazione, adduzione, distribuzione)</x:v>
      </x:c>
      <x:c r="H23" s="67" t="str">
        <x:v>Servizio di manutenzione e assistenza in ambito telecontrollo e fornitura di apparati degli impianti del servizio idrico (captazione, adduzione, distribuzione) Servizio di manutenzione e assistenza in ambito telecontrollo e fornitura di apparati degli impianti del servizio idrico (captazione, adduzione, distribuzione)</x:v>
      </x:c>
      <x:c r="I23" s="67" t="str">
        <x:v>https://ted.europa.eu/en/notice/-/detail/594917-2026</x:v>
      </x:c>
    </x:row>
    <x:row r="24" ht="78" customHeight="1">
      <x:c r="A24" s="67" t="str">
        <x:v>R1-102</x:v>
      </x:c>
      <x:c r="B24" s="67" t="str">
        <x:v>ITA</x:v>
      </x:c>
      <x:c r="C24" s="67" t="str">
        <x:v>Unsure</x:v>
      </x:c>
      <x:c r="D24" s="72" t="str"/>
      <x:c r="E24" s="67" t="str">
        <x:v>Low</x:v>
      </x:c>
      <x:c r="F24" s="67" t="str">
        <x:v>Teknik açıklama yok; hangi dijital hizmetlerin alınacağı anlaşılmıyor.</x:v>
      </x:c>
      <x:c r="G24" s="67" t="str">
        <x:v>Italy – IT services: consulting, software development, Internet and support – Servizi digitali per la Scuola Superiore Meridionale</x:v>
      </x:c>
      <x:c r="H24" s="67" t="str">
        <x:v>Servizi digitali per la Scuola Superiore Meridionale</x:v>
      </x:c>
      <x:c r="I24" s="67" t="str">
        <x:v>https://ted.europa.eu/en/notice/-/detail/857006-2025</x:v>
      </x:c>
    </x:row>
    <x:row r="25" ht="78" customHeight="1">
      <x:c r="A25" s="67" t="str">
        <x:v>R1-103</x:v>
      </x:c>
      <x:c r="B25" s="67" t="str">
        <x:v>BEL</x:v>
      </x:c>
      <x:c r="C25" s="67" t="str">
        <x:v>Relevant</x:v>
      </x:c>
      <x:c r="D25" s="72" t="str"/>
      <x:c r="E25" s="67" t="str">
        <x:v>Medium</x:v>
      </x:c>
      <x:c r="F25" s="67" t="str">
        <x:v>Genel IaaS yönetimi olsa da veri tabanları ve dosya altyapısı önemli bir bölüm.</x:v>
      </x:c>
      <x:c r="G25" s="67" t="str">
        <x:v>Belgium – Data network support services – Onderhoud en afbouw van een bestaande private/publieke cloud-omgeving in voorbereiding op migratie naar publieke cloud Vlaamse Overheid</x:v>
      </x:c>
      <x:c r="H25" s="67" t="str">
        <x:v>Deze opdracht betreft het beheren en onderhouden van een bestaande hybride datacenter infrastructuur op basis van een “pay per use”, IAAS-model (on-premise). De benodigde infrastructuur staat momenteel in een tier 3 datacenter, het beheer wordt opgenomen door een externe partner. De infrastructuur bestaat momenteel uit ongeveer 250 virtuele servers en een beperkt aantal fysieke hardware-componenten gebruikt voor toep</x:v>
      </x:c>
      <x:c r="I25" s="67" t="str">
        <x:v>https://ted.europa.eu/en/notice/-/detail/190127-2025</x:v>
      </x:c>
    </x:row>
    <x:row r="26" ht="78" customHeight="1">
      <x:c r="A26" s="67" t="str">
        <x:v>R1-106</x:v>
      </x:c>
      <x:c r="B26" s="67" t="str">
        <x:v>ITA</x:v>
      </x:c>
      <x:c r="C26" s="67" t="str">
        <x:v>Not relevant</x:v>
      </x:c>
      <x:c r="D26" s="72" t="str"/>
      <x:c r="E26" s="67" t="str">
        <x:v>Medium</x:v>
      </x:c>
      <x:c r="F26" s="67" t="str">
        <x:v>Yenilikçi dijital altyapı var; fakat AI, analiz veya veri mühendisliği açıkça belirtilmiyor.</x:v>
      </x:c>
      <x:c r="G26" s="67" t="str">
        <x:v>Italy – Design and execution of research and development – Gara europea a procedura aperta, gestita attraverso piattaforma telematica di negoziazione, per l'affidamento in concessione, ai sensi degli artt. 193 e ss. del D.lgs. 36/2023 e s.m.i., tramite finanza di progetto relativa alla progettazione, realizzazione e gestione di una infrastruttura tecnologica di innovazione di cui al progetto Infrastruttura Tecnologica di Innovazione (ITEC0000025) A Farm-t</x:v>
      </x:c>
      <x:c r="H26" s="67" t="str">
        <x:v>Gara europea a procedura aperta, gestita attraverso piattaforma telematica di negoziazione, per l'affidamento in concessione, ai sensi degli artt. 193 e ss. del D.lgs. 36/2023 e s.m.i., tramite finanza di progetto relativa alla progettazione, realizzazione e gestione di una infrastruttura tecnologica di innovazione di cui al progetto Infrastruttura Tecnologica di Innovazione (ITEC0000025) A Farm-to-Fork digital infra</x:v>
      </x:c>
      <x:c r="I26" s="67" t="str">
        <x:v>https://ted.europa.eu/en/notice/-/detail/386871-2026</x:v>
      </x:c>
    </x:row>
    <x:row r="27" ht="78" customHeight="1">
      <x:c r="A27" s="67" t="str">
        <x:v>R1-107</x:v>
      </x:c>
      <x:c r="B27" s="67" t="str">
        <x:v>ITA</x:v>
      </x:c>
      <x:c r="C27" s="67" t="str">
        <x:v>Relevant</x:v>
      </x:c>
      <x:c r="D27" s="72" t="str"/>
      <x:c r="E27" s="67" t="str">
        <x:v>Medium</x:v>
      </x:c>
      <x:c r="F27" s="67" t="str">
        <x:v>Ürün adı dışında ayrıntı az; Cohesity veri koruma/yedekleme platformu olduğu için uygun önerildi.</x:v>
      </x:c>
      <x:c r="G27" s="67" t="str">
        <x:v>Italy – Software maintenance and repair services – Gara europea a procedura aperta indetta ai sensi del D.lgs. 36/2023 per l’acquisto del rinnovo della manutenzione hardware e delle licenze software, con upgrade di licenze software, dei prodotti Cohesity di Liguria Digitale.</x:v>
      </x:c>
      <x:c r="H27" s="67" t="str">
        <x:v>per l’acquisto del rinnovo della manutenzione hardware e delle licenze software, con upgrade di licenze software, dei prodotti Cohesity di Liguria Digitale come meglio precisato nel Capitolato Tecnico. Gara europea a procedura aperta indetta ai sensi del D.lgs. 36/2023 per l’acquisto del rinnovo della manutenzione hardware e delle licenze software, con upgrade di licenze software, dei prodotti Cohesity di Liguria Dig</x:v>
      </x:c>
      <x:c r="I27" s="67" t="str">
        <x:v>https://ted.europa.eu/en/notice/-/detail/369563-2026</x:v>
      </x:c>
    </x:row>
    <x:row r="28" ht="78" customHeight="1">
      <x:c r="A28" s="67" t="str">
        <x:v>R1-111</x:v>
      </x:c>
      <x:c r="B28" s="67" t="str">
        <x:v>FIN</x:v>
      </x:c>
      <x:c r="C28" s="67" t="str">
        <x:v>Relevant</x:v>
      </x:c>
      <x:c r="D28" s="72" t="str"/>
      <x:c r="E28" s="67" t="str">
        <x:v>Medium</x:v>
      </x:c>
      <x:c r="F28" s="67" t="str">
        <x:v>Ana iş geniş uygulama bakımı; fakat BI, Databricks ve veri tabanı entegrasyonları kapsamda.</x:v>
      </x:c>
      <x:c r="G28" s="67" t="str">
        <x:v>Finland – IT services: consulting, software development, Internet and support – Suomisport-palvelun ylläpito- ja kehityspalvelu</x:v>
      </x:c>
      <x:c r="H28" s="67" t="str">
        <x:v>Hankinnan kohteena on Suomisport-palvelun jatkuva ylläpito- ja kehityspalvelu sisältäen seuraavat toimitukset: 1) Nykyisen järjestelmän jatkuva ylläpito ja kehitys nykyisillä teknologioilla ja tietoturvallisesti; 2) Nykyisen järjestelmän vuosittainen kehittäminen palvelustrategian ja kehittämisbudjetin mukaisesti; ja 3) Mahdollisen toimittajavaihdoksen tilanteessa nykyisen järjestelmän haltuunotto ja toiminnan jatkuv</x:v>
      </x:c>
      <x:c r="I28" s="67" t="str">
        <x:v>https://ted.europa.eu/en/notice/-/detail/765412-2024</x:v>
      </x:c>
    </x:row>
    <x:row r="29" ht="78" customHeight="1">
      <x:c r="A29" s="67" t="str">
        <x:v>R1-114</x:v>
      </x:c>
      <x:c r="B29" s="67" t="str">
        <x:v>ITA</x:v>
      </x:c>
      <x:c r="C29" s="67" t="str">
        <x:v>Unsure</x:v>
      </x:c>
      <x:c r="D29" s="72" t="str"/>
      <x:c r="E29" s="67" t="str">
        <x:v>Low</x:v>
      </x:c>
      <x:c r="F29" s="67" t="str">
        <x:v>CPV kodlarında veri hizmetleri var; ancak açıklama hangi işlerin yapılacağını göstermiyor.</x:v>
      </x:c>
      <x:c r="G29" s="67" t="str">
        <x:v>Italy – IT services: consulting, software development, Internet and support – CdC per AGEA AQ SIAN: AFFIDAMENTO DEI SERVIZI DEL SISTEMA INFORMATIVO AGRICOLO NAZIONALE (SIAN) PER LE ESIGENZE DELL’AGENZIA PER LE EROGAZIONI IN AGRICOLTURA - AGEA</x:v>
      </x:c>
      <x:c r="H29" s="67" t="str">
        <x:v>CdC per AGEA AQ SIAN: AFFIDAMENTO DEI SERVIZI DEL SISTEMA INFORMATIVO AGRICOLO NAZIONALE (SIAN) PER LE ESIGENZE DELL’AGENZIA PER LE EROGAZIONI IN AGRICOLTURA - AGEA PROCEDURA DI GARA APERTA AI SENSI DEGLI ARTICOLI 59, CO. 3, E 71, DEL D.LGS. N. 36/2023, DA REALIZZARSI MEDIANTE PIATTAFORMA TELEMATICA, PER LA CONCLUSIONE DI UN ACCORDO QUADRO AVENTE AD OGGETTO L’AFFIDAMENTO DEI SERVIZI DEL SISTEMA INFORMATIVO AGRICOLO N</x:v>
      </x:c>
      <x:c r="I29" s="67" t="str">
        <x:v>https://ted.europa.eu/en/notice/-/detail/521412-2026</x:v>
      </x:c>
    </x:row>
    <x:row r="30" ht="78" customHeight="1">
      <x:c r="A30" s="67" t="str">
        <x:v>R1-116</x:v>
      </x:c>
      <x:c r="B30" s="67" t="str">
        <x:v>BEL</x:v>
      </x:c>
      <x:c r="C30" s="67" t="str">
        <x:v>Relevant</x:v>
      </x:c>
      <x:c r="D30" s="72" t="str"/>
      <x:c r="E30" s="67" t="str">
        <x:v>Medium</x:v>
      </x:c>
      <x:c r="F30" s="67" t="str">
        <x:v>Çoğu lot genel donanım; HPC sunucu lotu nedeniyle veri işleme altyapısı olarak uygun önerildi.</x:v>
      </x:c>
      <x:c r="G30" s="67" t="str">
        <x:v>Belgium – Data-processing machines (hardware) – Contrat-Cadre IT Hardware</x:v>
      </x:c>
      <x:c r="H30" s="67" t="str">
        <x:v>Contrat-cadre IT Hardware Raamovereenkomst IT Hardware Matériel informatique (ordinateur portable, ordinateur de bureau et accessoires) Matériel serveur (y compris HPC) Werkplek hardware (laptop, desktop en accessoires) Serverhardware (inclusief HPC)</x:v>
      </x:c>
      <x:c r="I30" s="67" t="str">
        <x:v>https://ted.europa.eu/en/notice/-/detail/115261-2026</x:v>
      </x:c>
    </x:row>
  </x:sheetData>
  <x:mergeCells>
    <x:mergeCell ref="A1:I2"/>
    <x:mergeCell ref="A3:I3"/>
  </x:mergeCells>
  <x:conditionalFormatting sqref="C6:C30">
    <x:cfRule type="expression" dxfId="4" priority="1">
      <x:formula>$C6="Relevant"</x:formula>
    </x:cfRule>
    <x:cfRule type="expression" dxfId="5" priority="2">
      <x:formula>$C6="Not relevant"</x:formula>
    </x:cfRule>
    <x:cfRule type="expression" dxfId="6" priority="3">
      <x:formula>$C6="Unsure"</x:formula>
    </x:cfRule>
  </x:conditionalFormatting>
  <x:dataValidations count="1">
    <x:dataValidation type="list" sqref="D6:D30">
      <x:formula1>"Relevant,Not relevant,Unsure,Accept suggestion"</x:formula1>
    </x:dataValidation>
  </x:dataValidations>
  <x:pageMargins left="0.7" right="0.7" top="0.75" bottom="0.75" header="0.3" footer="0.3"/>
  <x:tableParts count="1">
    <x:tablePart xmlns:r="http://schemas.openxmlformats.org/officeDocument/2006/relationships" r:id="Rc3aa335321f94c5b"/>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4" hidden="0" customWidth="1"/>
    <x:col min="2" max="2" width="17" hidden="0" customWidth="1"/>
    <x:col min="3" max="3" width="17" hidden="0" customWidth="1"/>
    <x:col min="4" max="4" width="17" hidden="0" customWidth="1"/>
    <x:col min="5" max="5" width="17" hidden="0" customWidth="1"/>
    <x:col min="6" max="6" width="17" hidden="0" customWidth="1"/>
    <x:col min="7" max="7" width="17" hidden="0" customWidth="1"/>
    <x:col min="8" max="8" width="17" hidden="0" customWidth="1"/>
  </x:cols>
  <x:sheetData>
    <x:row r="1" ht="27" customHeight="1">
      <x:c r="A1" s="3" t="str">
        <x:v>Preliminary Classifier Metrics</x:v>
      </x:c>
      <x:c r="B1" s="3"/>
      <x:c r="C1" s="3"/>
      <x:c r="D1" s="3"/>
      <x:c r="E1" s="3"/>
      <x:c r="F1" s="3"/>
      <x:c r="G1" s="3"/>
      <x:c r="H1" s="3"/>
    </x:row>
    <x:row r="2" ht="27" customHeight="1">
      <x:c r="A2" s="3"/>
      <x:c r="B2" s="3"/>
      <x:c r="C2" s="3"/>
      <x:c r="D2" s="3"/>
      <x:c r="E2" s="3"/>
      <x:c r="F2" s="3"/>
      <x:c r="G2" s="3"/>
      <x:c r="H2" s="3"/>
    </x:row>
    <x:row r="3" ht="24" customHeight="1">
      <x:c r="A3" s="6" t="str">
        <x:v>AI-assisted labels · weighted estimates for the retrieved publication snapshot</x:v>
      </x:c>
      <x:c r="B3" s="6"/>
      <x:c r="C3" s="6"/>
      <x:c r="D3" s="6"/>
      <x:c r="E3" s="6"/>
      <x:c r="F3" s="6"/>
      <x:c r="G3" s="6"/>
      <x:c r="H3" s="6"/>
    </x:row>
    <x:row r="5">
      <x:c r="A5" s="18" t="str">
        <x:v>Confusion component</x:v>
      </x:c>
      <x:c r="B5" s="18" t="str">
        <x:v>Unweighted</x:v>
      </x:c>
      <x:c r="C5" s="18" t="str">
        <x:v>Weighted</x:v>
      </x:c>
      <x:c r="E5" s="18" t="str">
        <x:v>Review coverage</x:v>
      </x:c>
      <x:c r="F5" s="18" t="str">
        <x:v>Value</x:v>
      </x:c>
    </x:row>
    <x:row r="6">
      <x:c r="A6" s="13" t="str">
        <x:v>True positive</x:v>
      </x:c>
      <x:c r="B6" s="79" t="n">
        <x:v>28</x:v>
      </x:c>
      <x:c r="C6" s="82" t="n">
        <x:v>327.05</x:v>
      </x:c>
      <x:c r="E6" s="76" t="str">
        <x:v>Sample</x:v>
      </x:c>
      <x:c r="F6" s="85" t="n">
        <x:v>120</x:v>
      </x:c>
    </x:row>
    <x:row r="7">
      <x:c r="A7" s="30" t="str">
        <x:v>False positive</x:v>
      </x:c>
      <x:c r="B7" s="80" t="n">
        <x:v>30</x:v>
      </x:c>
      <x:c r="C7" s="83" t="n">
        <x:v>352.55</x:v>
      </x:c>
      <x:c r="E7" s="76" t="str">
        <x:v>Binary decisions</x:v>
      </x:c>
      <x:c r="F7" s="85" t="n">
        <x:v>116</x:v>
      </x:c>
    </x:row>
    <x:row r="8">
      <x:c r="A8" s="30" t="str">
        <x:v>False negative</x:v>
      </x:c>
      <x:c r="B8" s="80" t="n">
        <x:v>14</x:v>
      </x:c>
      <x:c r="C8" s="83" t="n">
        <x:v>724.747511</x:v>
      </x:c>
      <x:c r="E8" s="76" t="str">
        <x:v>Unsure</x:v>
      </x:c>
      <x:c r="F8" s="85" t="n">
        <x:v>4</x:v>
      </x:c>
    </x:row>
    <x:row r="9">
      <x:c r="A9" s="11" t="str">
        <x:v>True negative</x:v>
      </x:c>
      <x:c r="B9" s="81" t="n">
        <x:v>44</x:v>
      </x:c>
      <x:c r="C9" s="84" t="n">
        <x:v>2422.302262</x:v>
      </x:c>
      <x:c r="E9" s="76" t="str">
        <x:v>Flagged for review</x:v>
      </x:c>
      <x:c r="F9" s="85" t="n">
        <x:v>25</x:v>
      </x:c>
    </x:row>
    <x:row r="10">
      <x:c r="E10" s="76" t="str">
        <x:v>Report status</x:v>
      </x:c>
      <x:c r="F10" s="85" t="str">
        <x:v>Preliminary</x:v>
      </x:c>
    </x:row>
    <x:row r="11">
      <x:c r="A11" s="76" t="str">
        <x:v>Precision</x:v>
      </x:c>
      <x:c r="B11" s="78" t="n">
        <x:f>IF(B6+B7=0,0,B6/(B6+B7))</x:f>
        <x:v>0.4827586206896552</x:v>
      </x:c>
      <x:c r="C11" s="78" t="n">
        <x:f>IF(C6+C7=0,0,C6/(C6+C7))</x:f>
        <x:v>0.4812389640965274</x:v>
      </x:c>
    </x:row>
    <x:row r="12">
      <x:c r="A12" s="76" t="str">
        <x:v>Recall</x:v>
      </x:c>
      <x:c r="B12" s="78" t="n">
        <x:f>IF(B6+B8=0,0,B6/(B6+B8))</x:f>
        <x:v>0.6666666666666666</x:v>
      </x:c>
      <x:c r="C12" s="78" t="n">
        <x:f>IF(C6+C8=0,0,C6/(C6+C8))</x:f>
        <x:v>0.31094388090827113</x:v>
      </x:c>
    </x:row>
    <x:row r="13">
      <x:c r="A13" s="76" t="str">
        <x:v>F1</x:v>
      </x:c>
      <x:c r="B13" s="78" t="n">
        <x:f>IF(B11+B12=0,0,2*B11*B12/(B11+B12))</x:f>
        <x:v>0.56</x:v>
      </x:c>
      <x:c r="C13" s="78" t="n">
        <x:f>IF(C11+C12=0,0,2*C11*C12/(C11+C12))</x:f>
        <x:v>0.3777873052515899</x:v>
      </x:c>
    </x:row>
    <x:row r="14">
      <x:c r="A14" s="76" t="str">
        <x:v>Accuracy</x:v>
      </x:c>
      <x:c r="B14" s="78" t="n">
        <x:f>IF(SUM(B6:B9)=0,0,(B6+B9)/SUM(B6:B9))</x:f>
        <x:v>0.6206896551724138</x:v>
      </x:c>
      <x:c r="C14" s="78" t="n">
        <x:f>IF(SUM(C6:C9)=0,0,(C6+C9)/SUM(C6:C9))</x:f>
        <x:v>0.7184750173373131</x:v>
      </x:c>
    </x:row>
    <x:row r="17">
      <x:c r="A17" t="str">
        <x:v>Country</x:v>
      </x:c>
      <x:c r="B17" t="str">
        <x:v>Decided</x:v>
      </x:c>
      <x:c r="C17" t="str">
        <x:v>TP (weighted)</x:v>
      </x:c>
      <x:c r="D17" t="str">
        <x:v>FP (weighted)</x:v>
      </x:c>
      <x:c r="E17" t="str">
        <x:v>FN (weighted)</x:v>
      </x:c>
      <x:c r="F17" t="str">
        <x:v>TN (weighted)</x:v>
      </x:c>
      <x:c r="G17" t="str">
        <x:v>Precision</x:v>
      </x:c>
      <x:c r="H17" t="str">
        <x:v>Recall</x:v>
      </x:c>
    </x:row>
    <x:row r="18">
      <x:c r="A18" t="str">
        <x:v>BEL</x:v>
      </x:c>
      <x:c r="B18" s="86" t="n">
        <x:v>39</x:v>
      </x:c>
      <x:c r="C18" s="87" t="n">
        <x:v>151.45</x:v>
      </x:c>
      <x:c r="D18" s="87" t="n">
        <x:v>81.55</x:v>
      </x:c>
      <x:c r="E18" s="87" t="n">
        <x:v>175.076923</x:v>
      </x:c>
      <x:c r="F18" s="87" t="n">
        <x:v>858.384615</x:v>
      </x:c>
      <x:c r="G18" s="88" t="n">
        <x:f>IF(C18+D18=0,0,C18/(C18+D18))</x:f>
        <x:v>0.6499999999999999</x:v>
      </x:c>
      <x:c r="H18" s="88" t="n">
        <x:f>IF(C18+E18=0,0,C18/(C18+E18))</x:f>
        <x:v>0.4638208653930812</x:v>
      </x:c>
    </x:row>
    <x:row r="19">
      <x:c r="A19" t="str">
        <x:v>ITA</x:v>
      </x:c>
      <x:c r="B19" s="86" t="n">
        <x:v>37</x:v>
      </x:c>
      <x:c r="C19" s="87" t="n">
        <x:v>106.4</x:v>
      </x:c>
      <x:c r="D19" s="87" t="n">
        <x:v>167.2</x:v>
      </x:c>
      <x:c r="E19" s="87" t="n">
        <x:v>278.470588</x:v>
      </x:c>
      <x:c r="F19" s="87" t="n">
        <x:v>467.117647</x:v>
      </x:c>
      <x:c r="G19" s="88" t="n">
        <x:f>IF(C19+D19=0,0,C19/(C19+D19))</x:f>
        <x:v>0.3888888888888889</x:v>
      </x:c>
      <x:c r="H19" s="88" t="n">
        <x:f>IF(C19+E19=0,0,C19/(C19+E19))</x:f>
        <x:v>0.27645656310842853</x:v>
      </x:c>
    </x:row>
    <x:row r="20">
      <x:c r="A20" t="str">
        <x:v>FIN</x:v>
      </x:c>
      <x:c r="B20" s="86" t="n">
        <x:v>40</x:v>
      </x:c>
      <x:c r="C20" s="87" t="n">
        <x:v>69.2</x:v>
      </x:c>
      <x:c r="D20" s="87" t="n">
        <x:v>103.8</x:v>
      </x:c>
      <x:c r="E20" s="87" t="n">
        <x:v>271.2</x:v>
      </x:c>
      <x:c r="F20" s="87" t="n">
        <x:v>1096.8</x:v>
      </x:c>
      <x:c r="G20" s="88" t="n">
        <x:f>IF(C20+D20=0,0,C20/(C20+D20))</x:f>
        <x:v>0.4</x:v>
      </x:c>
      <x:c r="H20" s="88" t="n">
        <x:f>IF(C20+E20=0,0,C20/(C20+E20))</x:f>
        <x:v>0.20329024676850765</x:v>
      </x:c>
    </x:row>
    <x:row r="23">
      <x:c r="A23" s="33" t="str">
        <x:v>Interpretation boundary</x:v>
      </x:c>
      <x:c r="B23" s="33"/>
      <x:c r="C23" s="33"/>
      <x:c r="D23" s="33"/>
      <x:c r="E23" s="33"/>
      <x:c r="F23" s="33"/>
      <x:c r="G23" s="33"/>
      <x:c r="H23" s="33"/>
    </x:row>
    <x:row r="24">
      <x:c r="A24" s="53" t="str">
        <x:v>Current weighted estimates are precision 48.1%, recall 31.1% and F1 37.8%. They are diagnostic—not final claims—because 25 rows still need human review and four rows remain Unsure. Recall covers only the retrieved TED candidate set, not every TED notice.</x:v>
      </x:c>
      <x:c r="B24" s="54"/>
      <x:c r="C24" s="54"/>
      <x:c r="D24" s="54"/>
      <x:c r="E24" s="54"/>
      <x:c r="F24" s="54"/>
      <x:c r="G24" s="54"/>
      <x:c r="H24" s="55"/>
    </x:row>
    <x:row r="25">
      <x:c r="A25" s="56"/>
      <x:c r="B25" s="57"/>
      <x:c r="C25" s="57"/>
      <x:c r="D25" s="57"/>
      <x:c r="E25" s="57"/>
      <x:c r="F25" s="57"/>
      <x:c r="G25" s="57"/>
      <x:c r="H25" s="58"/>
    </x:row>
    <x:row r="26">
      <x:c r="A26" s="56"/>
      <x:c r="B26" s="57"/>
      <x:c r="C26" s="57"/>
      <x:c r="D26" s="57"/>
      <x:c r="E26" s="57"/>
      <x:c r="F26" s="57"/>
      <x:c r="G26" s="57"/>
      <x:c r="H26" s="58"/>
    </x:row>
    <x:row r="27">
      <x:c r="A27" s="59"/>
      <x:c r="B27" s="60"/>
      <x:c r="C27" s="60"/>
      <x:c r="D27" s="60"/>
      <x:c r="E27" s="60"/>
      <x:c r="F27" s="60"/>
      <x:c r="G27" s="60"/>
      <x:c r="H27" s="61"/>
    </x:row>
  </x:sheetData>
  <x:mergeCells>
    <x:mergeCell ref="A1:H2"/>
    <x:mergeCell ref="A3:H3"/>
    <x:mergeCell ref="A23:H23"/>
    <x:mergeCell ref="A24:H27"/>
  </x:mergeCells>
  <x:pageMargins left="0.7" right="0.7" top="0.75" bottom="0.75" header="0.3" footer="0.3"/>
  <x:tableParts count="1">
    <x:tablePart xmlns:r="http://schemas.openxmlformats.org/officeDocument/2006/relationships" r:id="R8a8dd02387d841d5"/>
  </x:tableParts>
</x:worksheet>
</file>

<file path=xl/worksheets/sheet5.xml><?xml version="1.0" encoding="utf-8"?>
<x:worksheet xmlns:x="http://schemas.openxmlformats.org/spreadsheetml/2006/main">
  <x:sheetViews>
    <x:sheetView showGridLines="0" workbookViewId="0"/>
  </x:sheetViews>
  <x:sheetFormatPr defaultRowHeight="15"/>
  <x:cols>
    <x:col min="1" max="1" width="21" hidden="0" customWidth="1"/>
    <x:col min="2" max="2" width="15" hidden="0" customWidth="1"/>
    <x:col min="3" max="3" width="15" hidden="0" customWidth="1"/>
    <x:col min="4" max="4" width="15" hidden="0" customWidth="1"/>
    <x:col min="5" max="5" width="15" hidden="0" customWidth="1"/>
    <x:col min="6" max="6" width="15" hidden="0" customWidth="1"/>
    <x:col min="7" max="7" width="15" hidden="0" customWidth="1"/>
    <x:col min="8" max="8" width="30" hidden="0" customWidth="1"/>
  </x:cols>
  <x:sheetData>
    <x:row r="1" ht="27" customHeight="1">
      <x:c r="A1" s="3" t="str">
        <x:v>Decision Guide</x:v>
      </x:c>
      <x:c r="B1" s="3"/>
      <x:c r="C1" s="3"/>
      <x:c r="D1" s="3"/>
      <x:c r="E1" s="3"/>
      <x:c r="F1" s="3"/>
      <x:c r="G1" s="3"/>
      <x:c r="H1" s="3"/>
    </x:row>
    <x:row r="2" ht="27" customHeight="1">
      <x:c r="A2" s="3"/>
      <x:c r="B2" s="3"/>
      <x:c r="C2" s="3"/>
      <x:c r="D2" s="3"/>
      <x:c r="E2" s="3"/>
      <x:c r="F2" s="3"/>
      <x:c r="G2" s="3"/>
      <x:c r="H2" s="3"/>
    </x:row>
    <x:row r="3" ht="24" customHeight="1">
      <x:c r="A3" s="6" t="str">
        <x:v>Use procurement substance, not incidental keywords · Open TED when evidence is insufficient</x:v>
      </x:c>
      <x:c r="B3" s="6"/>
      <x:c r="C3" s="6"/>
      <x:c r="D3" s="6"/>
      <x:c r="E3" s="6"/>
      <x:c r="F3" s="6"/>
      <x:c r="G3" s="6"/>
      <x:c r="H3" s="6"/>
    </x:row>
    <x:row r="5">
      <x:c r="A5" s="89" t="str">
        <x:v>Label</x:v>
      </x:c>
      <x:c r="B5" s="89" t="str">
        <x:v>Decision rule</x:v>
      </x:c>
      <x:c r="C5" s="89"/>
      <x:c r="D5" s="89"/>
      <x:c r="E5" s="89" t="str">
        <x:v>Typical inclusions</x:v>
      </x:c>
      <x:c r="F5" s="89"/>
      <x:c r="G5" s="89"/>
      <x:c r="H5" s="89" t="str">
        <x:v>Confidence</x:v>
      </x:c>
    </x:row>
    <x:row r="6" ht="62" customHeight="1">
      <x:c r="A6" s="118" t="str">
        <x:v>Relevant</x:v>
      </x:c>
      <x:c r="B6" s="109" t="str">
        <x:v>A material part of the procurement is an AI/data opportunity.</x:v>
      </x:c>
      <x:c r="C6" s="109"/>
      <x:c r="D6" s="109"/>
      <x:c r="E6" s="109" t="str">
        <x:v>AI/ML, analytics/BI, data engineering, platforms, database/data services, data-specific infrastructure</x:v>
      </x:c>
      <x:c r="F6" s="109"/>
      <x:c r="G6" s="109"/>
      <x:c r="H6" s="110" t="str">
        <x:v>High when explicit; Medium when scope needs interpretation</x:v>
      </x:c>
    </x:row>
    <x:row r="7" ht="62" customHeight="1">
      <x:c r="A7" s="120" t="str">
        <x:v>Not relevant</x:v>
      </x:c>
      <x:c r="B7" s="112" t="str">
        <x:v>The purchase is generic IT or data language is incidental.</x:v>
      </x:c>
      <x:c r="C7" s="112"/>
      <x:c r="D7" s="112"/>
      <x:c r="E7" s="112" t="str">
        <x:v>Laptops, generic office software, ordinary telecom/networking, general app support, non-data equipment</x:v>
      </x:c>
      <x:c r="F7" s="112"/>
      <x:c r="G7" s="112"/>
      <x:c r="H7" s="113" t="str">
        <x:v>High when scope is clearly outside the taxonomy</x:v>
      </x:c>
    </x:row>
    <x:row r="8" ht="62" customHeight="1">
      <x:c r="A8" s="122" t="str">
        <x:v>Unsure</x:v>
      </x:c>
      <x:c r="B8" s="115" t="str">
        <x:v>The supplied evidence cannot support a defensible binary decision.</x:v>
      </x:c>
      <x:c r="C8" s="115"/>
      <x:c r="D8" s="115"/>
      <x:c r="E8" s="115" t="str">
        <x:v>Ambiguous lots, missing scope, translation uncertainty, conflicting evidence</x:v>
      </x:c>
      <x:c r="F8" s="115"/>
      <x:c r="G8" s="115"/>
      <x:c r="H8" s="116" t="str">
        <x:v>Usually Low; explain what is missing</x:v>
      </x:c>
    </x:row>
    <x:row r="11">
      <x:c r="A11" s="76" t="str">
        <x:v>Edge-case protocol</x:v>
      </x:c>
      <x:c r="B11" s="76"/>
      <x:c r="C11" s="76"/>
      <x:c r="D11" s="76"/>
      <x:c r="E11" s="76"/>
      <x:c r="F11" s="76"/>
      <x:c r="G11" s="76"/>
      <x:c r="H11" s="76"/>
    </x:row>
    <x:row r="12" ht="36" customHeight="1">
      <x:c r="A12" s="20" t="str">
        <x:v>Mixed or multi-lot</x:v>
      </x:c>
      <x:c r="B12" s="23" t="str">
        <x:v>Relevant only when at least one material lot is an in-scope opportunity—not a passing mention.</x:v>
      </x:c>
      <x:c r="C12" s="23"/>
      <x:c r="D12" s="23"/>
      <x:c r="E12" s="23"/>
      <x:c r="F12" s="23"/>
      <x:c r="G12" s="23"/>
      <x:c r="H12" s="23"/>
    </x:row>
    <x:row r="13" ht="36" customHeight="1">
      <x:c r="A13" s="20" t="str">
        <x:v>Cloud or servers</x:v>
      </x:c>
      <x:c r="B13" s="23" t="str">
        <x:v>Relevant when the infrastructure is explicitly for data storage, processing, governance, analytics, or AI workloads.</x:v>
      </x:c>
      <x:c r="C13" s="23"/>
      <x:c r="D13" s="23"/>
      <x:c r="E13" s="23"/>
      <x:c r="F13" s="23"/>
      <x:c r="G13" s="23"/>
      <x:c r="H13" s="23"/>
    </x:row>
    <x:row r="14" ht="36" customHeight="1">
      <x:c r="A14" s="20" t="str">
        <x:v>Generic software</x:v>
      </x:c>
      <x:c r="B14" s="23" t="str">
        <x:v>Not relevant without explicit AI/data functionality, even if the buyer is a data-intensive institution.</x:v>
      </x:c>
      <x:c r="C14" s="23"/>
      <x:c r="D14" s="23"/>
      <x:c r="E14" s="23"/>
      <x:c r="F14" s="23"/>
      <x:c r="G14" s="23"/>
      <x:c r="H14" s="23"/>
    </x:row>
    <x:row r="15" ht="36" customHeight="1">
      <x:c r="A15" s="20" t="str">
        <x:v>Database licence</x:v>
      </x:c>
      <x:c r="B15" s="23" t="str">
        <x:v>Relevant when database/data management is the procurement substance; not merely an incidental dependency.</x:v>
      </x:c>
      <x:c r="C15" s="23"/>
      <x:c r="D15" s="23"/>
      <x:c r="E15" s="23"/>
      <x:c r="F15" s="23"/>
      <x:c r="G15" s="23"/>
      <x:c r="H15" s="23"/>
    </x:row>
    <x:row r="16" ht="36" customHeight="1">
      <x:c r="A16" s="20" t="str">
        <x:v>Weak translation</x:v>
      </x:c>
      <x:c r="B16" s="23" t="str">
        <x:v>Open the official notice; use Unsure when a defensible interpretation remains impossible.</x:v>
      </x:c>
      <x:c r="C16" s="23"/>
      <x:c r="D16" s="23"/>
      <x:c r="E16" s="23"/>
      <x:c r="F16" s="23"/>
      <x:c r="G16" s="23"/>
      <x:c r="H16" s="23"/>
    </x:row>
    <x:row r="17" ht="36" customHeight="1">
      <x:c r="A17" s="20" t="str">
        <x:v>Decision reason</x:v>
      </x:c>
      <x:c r="B17" s="23" t="str">
        <x:v>Write one short factual reason. Do not copy the full title or speculate about bid suitability.</x:v>
      </x:c>
      <x:c r="C17" s="23"/>
      <x:c r="D17" s="23"/>
      <x:c r="E17" s="23"/>
      <x:c r="F17" s="23"/>
      <x:c r="G17" s="23"/>
      <x:c r="H17" s="23"/>
    </x:row>
  </x:sheetData>
  <x:mergeCells>
    <x:mergeCell ref="A1:H2"/>
    <x:mergeCell ref="A3:H3"/>
    <x:mergeCell ref="B5:D5"/>
    <x:mergeCell ref="E5:G5"/>
    <x:mergeCell ref="B6:D6"/>
    <x:mergeCell ref="E6:G6"/>
    <x:mergeCell ref="B7:D7"/>
    <x:mergeCell ref="E7:G7"/>
    <x:mergeCell ref="B8:D8"/>
    <x:mergeCell ref="E8:G8"/>
    <x:mergeCell ref="A11:H11"/>
    <x:mergeCell ref="B12:H12"/>
    <x:mergeCell ref="B13:H13"/>
    <x:mergeCell ref="B14:H14"/>
    <x:mergeCell ref="B15:H15"/>
    <x:mergeCell ref="B16:H16"/>
    <x:mergeCell ref="B17:H17"/>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22" hidden="0" customWidth="1"/>
    <x:col min="2" max="2" width="40" hidden="0" customWidth="1"/>
    <x:col min="3" max="3" width="20" hidden="0" customWidth="1"/>
    <x:col min="4" max="4" width="20" hidden="0" customWidth="1"/>
    <x:col min="5" max="5" width="20" hidden="0" customWidth="1"/>
    <x:col min="6" max="6" width="20" hidden="0" customWidth="1"/>
  </x:cols>
  <x:sheetData>
    <x:row r="1" ht="27" customHeight="1">
      <x:c r="A1" s="3" t="str">
        <x:v>Sampling Notes</x:v>
      </x:c>
      <x:c r="B1" s="3"/>
      <x:c r="C1" s="3"/>
      <x:c r="D1" s="3"/>
      <x:c r="E1" s="3"/>
      <x:c r="F1" s="3"/>
    </x:row>
    <x:row r="2" ht="27" customHeight="1">
      <x:c r="A2" s="3"/>
      <x:c r="B2" s="3"/>
      <x:c r="C2" s="3"/>
      <x:c r="D2" s="3"/>
      <x:c r="E2" s="3"/>
      <x:c r="F2" s="3"/>
    </x:row>
    <x:row r="3" ht="24" customHeight="1">
      <x:c r="A3" s="6" t="str">
        <x:v>Reproducibility metadata · prediction bands are not mapped to individual workbook rows</x:v>
      </x:c>
      <x:c r="B3" s="6"/>
      <x:c r="C3" s="6"/>
      <x:c r="D3" s="6"/>
      <x:c r="E3" s="6"/>
      <x:c r="F3" s="6"/>
    </x:row>
    <x:row r="5">
      <x:c r="A5" s="18" t="str">
        <x:v>Field</x:v>
      </x:c>
      <x:c r="B5" s="18" t="str">
        <x:v>Value</x:v>
      </x:c>
    </x:row>
    <x:row r="6">
      <x:c r="A6" s="76" t="str">
        <x:v>Round</x:v>
      </x:c>
      <x:c r="B6" s="124" t="str">
        <x:v>round-1</x:v>
      </x:c>
    </x:row>
    <x:row r="7">
      <x:c r="A7" s="76" t="str">
        <x:v>Created (UTC)</x:v>
      </x:c>
      <x:c r="B7" s="125" t="n">
        <x:v>46266.974673530094</x:v>
      </x:c>
    </x:row>
    <x:row r="8">
      <x:c r="A8" s="76" t="str">
        <x:v>Publication</x:v>
      </x:c>
      <x:c r="B8" s="124" t="str">
        <x:v>data/published/tenders.parquet</x:v>
      </x:c>
    </x:row>
    <x:row r="9">
      <x:c r="A9" s="76" t="str">
        <x:v>Publication SHA-256</x:v>
      </x:c>
      <x:c r="B9" s="124" t="str">
        <x:v>70b546b29d9a847fecf4d8ccae72420276730bd7a3fda9e5cec5a7365556104c</x:v>
      </x:c>
    </x:row>
    <x:row r="10">
      <x:c r="A10" s="76" t="str">
        <x:v>Taxonomy version</x:v>
      </x:c>
      <x:c r="B10" s="124" t="str">
        <x:v>0.1.0</x:v>
      </x:c>
    </x:row>
    <x:row r="11">
      <x:c r="A11" s="76" t="str">
        <x:v>Classifier threshold</x:v>
      </x:c>
      <x:c r="B11" s="124" t="n">
        <x:v>2.5</x:v>
      </x:c>
    </x:row>
    <x:row r="12">
      <x:c r="A12" s="76" t="str">
        <x:v>Random seed</x:v>
      </x:c>
      <x:c r="B12" s="124" t="n">
        <x:v>2027</x:v>
      </x:c>
    </x:row>
    <x:row r="13">
      <x:c r="A13" s="76" t="str">
        <x:v>Sampling method</x:v>
      </x:c>
      <x:c r="B13" s="124" t="str">
        <x:v>country-balanced stratified random sample</x:v>
      </x:c>
    </x:row>
    <x:row r="15">
      <x:c r="A15" t="str">
        <x:v>Country</x:v>
      </x:c>
      <x:c r="B15" t="str">
        <x:v>Band</x:v>
      </x:c>
      <x:c r="C15" t="str">
        <x:v>Population</x:v>
      </x:c>
      <x:c r="D15" t="str">
        <x:v>Sample</x:v>
      </x:c>
      <x:c r="E15" t="str">
        <x:v>Selection probability</x:v>
      </x:c>
      <x:c r="F15" t="str">
        <x:v>Sample weight</x:v>
      </x:c>
    </x:row>
    <x:row r="16">
      <x:c r="A16" t="str">
        <x:v>BEL</x:v>
      </x:c>
      <x:c r="B16" t="str">
        <x:v>borderline_negative</x:v>
      </x:c>
      <x:c r="C16" t="n">
        <x:v>7</x:v>
      </x:c>
      <x:c r="D16" t="n">
        <x:v>7</x:v>
      </x:c>
      <x:c r="E16" s="126" t="n">
        <x:v>1</x:v>
      </x:c>
      <x:c r="F16" s="126" t="n">
        <x:v>1</x:v>
      </x:c>
    </x:row>
    <x:row r="17">
      <x:c r="A17" t="str">
        <x:v>BEL</x:v>
      </x:c>
      <x:c r="B17" t="str">
        <x:v>no_evidence</x:v>
      </x:c>
      <x:c r="C17" t="n">
        <x:v>1112</x:v>
      </x:c>
      <x:c r="D17" t="n">
        <x:v>13</x:v>
      </x:c>
      <x:c r="E17" s="126" t="n">
        <x:v>0.01169065</x:v>
      </x:c>
      <x:c r="F17" s="126" t="n">
        <x:v>85.53846154</x:v>
      </x:c>
    </x:row>
    <x:row r="18">
      <x:c r="A18" t="str">
        <x:v>BEL</x:v>
      </x:c>
      <x:c r="B18" t="str">
        <x:v>predicted_relevant</x:v>
      </x:c>
      <x:c r="C18" t="n">
        <x:v>233</x:v>
      </x:c>
      <x:c r="D18" t="n">
        <x:v>20</x:v>
      </x:c>
      <x:c r="E18" s="126" t="n">
        <x:v>0.08583691</x:v>
      </x:c>
      <x:c r="F18" s="126" t="n">
        <x:v>11.65</x:v>
      </x:c>
    </x:row>
    <x:row r="19">
      <x:c r="A19" t="str">
        <x:v>FIN</x:v>
      </x:c>
      <x:c r="B19" t="str">
        <x:v>borderline_negative</x:v>
      </x:c>
      <x:c r="C19" t="n">
        <x:v>12</x:v>
      </x:c>
      <x:c r="D19" t="n">
        <x:v>10</x:v>
      </x:c>
      <x:c r="E19" s="126" t="n">
        <x:v>0.83333333</x:v>
      </x:c>
      <x:c r="F19" s="126" t="n">
        <x:v>1.2</x:v>
      </x:c>
    </x:row>
    <x:row r="20">
      <x:c r="A20" t="str">
        <x:v>FIN</x:v>
      </x:c>
      <x:c r="B20" t="str">
        <x:v>no_evidence</x:v>
      </x:c>
      <x:c r="C20" t="n">
        <x:v>1356</x:v>
      </x:c>
      <x:c r="D20" t="n">
        <x:v>10</x:v>
      </x:c>
      <x:c r="E20" s="126" t="n">
        <x:v>0.00737463</x:v>
      </x:c>
      <x:c r="F20" s="126" t="n">
        <x:v>135.6</x:v>
      </x:c>
    </x:row>
    <x:row r="21">
      <x:c r="A21" t="str">
        <x:v>FIN</x:v>
      </x:c>
      <x:c r="B21" t="str">
        <x:v>predicted_relevant</x:v>
      </x:c>
      <x:c r="C21" t="n">
        <x:v>173</x:v>
      </x:c>
      <x:c r="D21" t="n">
        <x:v>20</x:v>
      </x:c>
      <x:c r="E21" s="126" t="n">
        <x:v>0.11560694</x:v>
      </x:c>
      <x:c r="F21" s="126" t="n">
        <x:v>8.65</x:v>
      </x:c>
    </x:row>
    <x:row r="22">
      <x:c r="A22" t="str">
        <x:v>ITA</x:v>
      </x:c>
      <x:c r="B22" t="str">
        <x:v>borderline_negative</x:v>
      </x:c>
      <x:c r="C22" t="n">
        <x:v>3</x:v>
      </x:c>
      <x:c r="D22" t="n">
        <x:v>3</x:v>
      </x:c>
      <x:c r="E22" s="126" t="n">
        <x:v>1</x:v>
      </x:c>
      <x:c r="F22" s="126" t="n">
        <x:v>1</x:v>
      </x:c>
    </x:row>
    <x:row r="23">
      <x:c r="A23" t="str">
        <x:v>ITA</x:v>
      </x:c>
      <x:c r="B23" t="str">
        <x:v>no_evidence</x:v>
      </x:c>
      <x:c r="C23" t="n">
        <x:v>789</x:v>
      </x:c>
      <x:c r="D23" t="n">
        <x:v>17</x:v>
      </x:c>
      <x:c r="E23" s="126" t="n">
        <x:v>0.02154626</x:v>
      </x:c>
      <x:c r="F23" s="126" t="n">
        <x:v>46.41176471</x:v>
      </x:c>
    </x:row>
    <x:row r="24">
      <x:c r="A24" t="str">
        <x:v>ITA</x:v>
      </x:c>
      <x:c r="B24" t="str">
        <x:v>predicted_relevant</x:v>
      </x:c>
      <x:c r="C24" t="n">
        <x:v>304</x:v>
      </x:c>
      <x:c r="D24" t="n">
        <x:v>20</x:v>
      </x:c>
      <x:c r="E24" s="126" t="n">
        <x:v>0.06578947</x:v>
      </x:c>
      <x:c r="F24" s="126" t="n">
        <x:v>15.2</x:v>
      </x:c>
    </x:row>
    <x:row r="27">
      <x:c r="A27" s="33" t="str">
        <x:v>Why weights matter</x:v>
      </x:c>
      <x:c r="B27" s="33"/>
      <x:c r="C27" s="33"/>
      <x:c r="D27" s="33"/>
      <x:c r="E27" s="33"/>
      <x:c r="F27" s="33"/>
    </x:row>
    <x:row r="28">
      <x:c r="A28" s="53" t="str">
        <x:v>The sample deliberately over-represents predicted positives and near-threshold negatives. Unweighted metrics diagnose the reviewed rows; inverse-probability weighted metrics estimate this publication snapshot. Neither result measures retrieval recall across all TED notices.</x:v>
      </x:c>
      <x:c r="B28" s="54"/>
      <x:c r="C28" s="54"/>
      <x:c r="D28" s="54"/>
      <x:c r="E28" s="54"/>
      <x:c r="F28" s="55"/>
    </x:row>
    <x:row r="29">
      <x:c r="A29" s="56"/>
      <x:c r="B29" s="57"/>
      <x:c r="C29" s="57"/>
      <x:c r="D29" s="57"/>
      <x:c r="E29" s="57"/>
      <x:c r="F29" s="58"/>
    </x:row>
    <x:row r="30">
      <x:c r="A30" s="59"/>
      <x:c r="B30" s="60"/>
      <x:c r="C30" s="60"/>
      <x:c r="D30" s="60"/>
      <x:c r="E30" s="60"/>
      <x:c r="F30" s="61"/>
    </x:row>
  </x:sheetData>
  <x:mergeCells>
    <x:mergeCell ref="A1:F2"/>
    <x:mergeCell ref="A3:F3"/>
    <x:mergeCell ref="A27:F27"/>
    <x:mergeCell ref="A28:F30"/>
  </x:mergeCells>
  <x:pageMargins left="0.7" right="0.7" top="0.75" bottom="0.75" header="0.3" footer="0.3"/>
  <x:tableParts count="1">
    <x:tablePart xmlns:r="http://schemas.openxmlformats.org/officeDocument/2006/relationships" r:id="R9c6116d190a943b2"/>
  </x:tableParts>
</x:worksheet>
</file>